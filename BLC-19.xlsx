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<sst xmlns="http://schemas.openxmlformats.org/spreadsheetml/2006/main" count="1813" uniqueCount="481">
  <si>
    <r>
      <rPr>
        <rFont val="Arial"/>
        <b/>
        <color rgb="FF000000"/>
      </rPr>
      <t>S.No</t>
    </r>
    <r>
      <rPr>
        <rFont val="Arial"/>
        <b/>
        <color theme="1"/>
      </rPr>
      <t>.</t>
    </r>
  </si>
  <si>
    <t>Country</t>
  </si>
  <si>
    <t>City</t>
  </si>
  <si>
    <t>Company</t>
  </si>
  <si>
    <t>Website</t>
  </si>
  <si>
    <t>Linkedin</t>
  </si>
  <si>
    <t>Need</t>
  </si>
  <si>
    <t>Email</t>
  </si>
  <si>
    <t>Contact</t>
  </si>
  <si>
    <t>Maps</t>
  </si>
  <si>
    <t>Category</t>
  </si>
  <si>
    <t>Rating</t>
  </si>
  <si>
    <t>Review</t>
  </si>
  <si>
    <t>USA</t>
  </si>
  <si>
    <t>San Francisco</t>
  </si>
  <si>
    <t>Andrew Dental Clinic San Francisco</t>
  </si>
  <si>
    <t>N/A</t>
  </si>
  <si>
    <t>https://www.google.com/maps/place/Andrew+Dental+Clinic+San+Francisco/@37.7579658,-122.4509038,17z/data=!3m1!4b1!4m6!3m5!1s0x808f7d00739d28ed:0xc20431396a9aa072!8m2!3d37.7579658!4d-122.4509038!16s%2Fg%2F11x8_1s3t2?authuser=0&amp;hl=en&amp;entry=ttu&amp;g_ep=EgoyMDI2MDYyOS4wIKXMDSoASAFQAw%3D%3D</t>
  </si>
  <si>
    <t>Dentist</t>
  </si>
  <si>
    <t>San Francisco Dental Artistry</t>
  </si>
  <si>
    <t>https://www.google.com/maps/place/San+Francisco+Dental+Artistry/@37.79176,-122.402057,17z/data=!3m1!4b1!4m6!3m5!1s0x8085808a03158595:0x5f8044fd88d621c9!8m2!3d37.79176!4d-122.402057!16s%2Fg%2F1td9dz_x?authuser=0&amp;hl=en&amp;entry=ttu&amp;g_ep=EgoyMDI2MDYyOS4wIKXMDSoASAFQAw%3D%3D</t>
  </si>
  <si>
    <t>India</t>
  </si>
  <si>
    <t xml:space="preserve">Haryana </t>
  </si>
  <si>
    <t>FAMILY DENTAL AND COSMETIC CLINIC</t>
  </si>
  <si>
    <t>https://www.google.com/maps/place/FAMILY+DENTAL+AND+COSMETIC+CLINIC/@28.7941508,76.1209427,17z/data=!3m1!4b1!4m6!3m5!1s0x391261c537fe06c3:0x5c6b3d9428e2e449!8m2!3d28.7941508!4d76.1209427!16s%2Fg%2F11k14nprwt?authuser=0&amp;hl=en&amp;entry=ttu&amp;g_ep=EgoyMDI2MDYyOS4wIKXMDSoASAFQAw%3D%3D</t>
  </si>
  <si>
    <t>Hospital</t>
  </si>
  <si>
    <t>Shree Ram Clinic</t>
  </si>
  <si>
    <t>https://www.google.com/maps/place/Shree+Ram+Clinic/@28.7935568,76.1289659,17z/data=!3m1!4b1!4m6!3m5!1s0x391267a62ff8286b:0x56a037c3e4638a48!8m2!3d28.7935568!4d76.1289659!16s%2Fg%2F11rvdd64s8?authuser=0&amp;hl=en&amp;entry=ttu&amp;g_ep=EgoyMDI2MDYyOS4wIKXMDSoASAFQAw%3D%3D</t>
  </si>
  <si>
    <t>Medical Clinic</t>
  </si>
  <si>
    <t>Sunil's health and wellness physiotherapy clinic bhiwani</t>
  </si>
  <si>
    <t>https://www.google.com/maps/place/Sunil's+health+and+wellness+physiotherapy+clinic+bhiwani/@28.7844431,76.1521763,17z/data=!3m1!4b1!4m6!3m5!1s0x3912613318a5e6cf:0x73b76847e918b32d!8m2!3d28.7844431!4d76.1521763!16s%2Fg%2F11csqqkzg2?authuser=0&amp;hl=en&amp;entry=ttu&amp;g_ep=EgoyMDI2MDYyOS4wIKXMDSoASAFQAw%3D%3D</t>
  </si>
  <si>
    <t>Dr. Vidya Homeopathic Clinic</t>
  </si>
  <si>
    <t>https://www.google.com/maps/place/Dr.+Vidya+Homeopathic+Clinic/@28.7998697,76.1434267,17z/data=!3m1!4b1!4m6!3m5!1s0x39126729828cad8d:0xeb115554a5c71562!8m2!3d28.7998697!4d76.1434267!16s%2Fg%2F11f2wps2sz?authuser=0&amp;hl=en&amp;entry=ttu&amp;g_ep=EgoyMDI2MDYyOS4wIKXMDSoASAFQAw%3D%3D</t>
  </si>
  <si>
    <t>JJMB HOSPITAL</t>
  </si>
  <si>
    <t>https://www.google.com/maps/place/JJMB+HOSPITAL/@28.795475,76.1541796,17z/data=!3m1!4b1!4m6!3m5!1s0x391267001ed7504f:0x1bd2fc40c5f32788!8m2!3d28.795475!4d76.1541796!16s%2Fg%2F11y2yyq6x7?authuser=0&amp;hl=en&amp;entry=ttu&amp;g_ep=EgoyMDI2MDYyOS4wIKXMDSoASAFQAw%3D%3D</t>
  </si>
  <si>
    <t>Vaidik Dental &amp; Aesthetic Care</t>
  </si>
  <si>
    <t>https://www.google.com/maps/place/Vaidik+Dental+%26+Aesthetic+Care/@28.8001522,76.1402756,17z/data=!3m1!4b1!4m6!3m5!1s0x3912677e9c8a4d2f:0x1c2490699599ab1!8m2!3d28.8001522!4d76.1402756!16s%2Fg%2F11jpx9cv92?authuser=0&amp;hl=en&amp;entry=ttu&amp;g_ep=EgoyMDI2MDYyOS4wIKXMDSoASAFQAw%3D%3D</t>
  </si>
  <si>
    <t>Dental Clinic</t>
  </si>
  <si>
    <t>Shri Mata Sheetla Dental Clinic and Implant Center</t>
  </si>
  <si>
    <t>https://www.google.com/maps/place/Shri+Mata+Sheetla+Dental+Clinic+and+Implant+Center/@28.8018578,76.1427032,17z/data=!3m1!4b1!4m6!3m5!1s0x391266d00c170be3:0xd4e8cd55b5762018!8m2!3d28.8018578!4d76.1427032!16s%2Fg%2F11dxlcq2rj?authuser=0&amp;hl=en&amp;entry=ttu&amp;g_ep=EgoyMDI2MDYyOS4wIKXMDSoASAFQAw%3D%3D</t>
  </si>
  <si>
    <t>Armaan Dental Clinic &amp; Smile Center - Dental Clinic in Bhiwani</t>
  </si>
  <si>
    <t>https://www.google.com/maps/place/Armaan+Dental+Clinic+%26+Smile+Center+-+Dental+Clinic+in+Bhiwani/@28.7972598,76.1465559,17z/data=!3m1!4b1!4m6!3m5!1s0x391266d7b7cf2939:0x74f12b43cc37a053!8m2!3d28.7972598!4d76.1465559!16s%2Fg%2F11b7ldz0yv?authuser=0&amp;hl=en&amp;entry=ttu&amp;g_ep=EgoyMDI2MDYyOS4wIKXMDSoASAFQAw%3D%3D</t>
  </si>
  <si>
    <t>Kusum dental care &amp; implant center.</t>
  </si>
  <si>
    <t>https://www.google.com/maps/place/Kusum+dental+care+%26+implant+center./@28.7937401,76.1570572,17z/data=!3m1!4b1!4m6!3m5!1s0x39126160e4187a5f:0x66cdea3f1c1b2a37!8m2!3d28.7937401!4d76.1570572!16s%2Fg%2F11kfmb1yb1?authuser=0&amp;hl=en&amp;entry=ttu&amp;g_ep=EgoyMDI2MDYyOS4wIKXMDSoASAFQAw%3D%3D</t>
  </si>
  <si>
    <t>Bhiwani Dental Hospital and Implant center</t>
  </si>
  <si>
    <t>https://www.google.com/maps/place/Bhiwani+Dental+Hospital+and+Implant+center/@28.7981142,76.1451052,17z/data=!3m1!4b1!4m6!3m5!1s0x391266ce152fe1fb:0x5e570cbe3f633997!8m2!3d28.7981142!4d76.1451052!16s%2Fg%2F11dxlc6p98?authuser=0&amp;hl=en&amp;entry=ttu&amp;g_ep=EgoyMDI2MDYyOS4wIKXMDSoASAFQAw%3D%3D</t>
  </si>
  <si>
    <t>Sangeet Dental Care &amp; Cosmetic Center, Bhiwani</t>
  </si>
  <si>
    <t>https://www.google.com/maps/place/Sangeet+Dental+Care+%26+Cosmetic+Center,+Bhiwani/@28.7968661,76.1467387,17z/data=!3m1!4b1!4m6!3m5!1s0x39126798f96ce111:0xdc936d13b9deea48!8m2!3d28.7968661!4d76.1467387!16s%2Fg%2F11twh3t_jc?authuser=0&amp;hl=en&amp;entry=ttu&amp;g_ep=EgoyMDI2MDYyOS4wIKXMDSoASAFQAw%3D%3D</t>
  </si>
  <si>
    <t>Dr Samiksha's DENTAL STUDIO</t>
  </si>
  <si>
    <t>https://www.google.com/maps/place/Dr+Samiksha's+DENTAL+STUDIO/@28.8038265,76.1374559,17z/data=!3m1!4b1!4m6!3m5!1s0x391267e2ff0bf55d:0x7dbc5caa89eaaa80!8m2!3d28.8038265!4d76.1374559!16s%2Fg%2F11wtjt0g6c?authuser=0&amp;hl=en&amp;entry=ttu&amp;g_ep=EgoyMDI2MDYyOS4wIKXMDSoASAFQAw%3D%3D</t>
  </si>
  <si>
    <t>Shivay dental hospital</t>
  </si>
  <si>
    <t>https://www.google.com/maps/place/Shivay+dental+hospital/@28.786073,76.1448814,17z/data=!3m1!4b1!4m6!3m5!1s0x3912675d50bc69ab:0xeb80ba2bbdacddf0!8m2!3d28.786073!4d76.1448814!16s%2Fg%2F11y0t35hy5?authuser=0&amp;hl=en&amp;entry=ttu&amp;g_ep=EgoyMDI2MDYyOS4wIKXMDSoASAFQAw%3D%3D</t>
  </si>
  <si>
    <t>Dr. Yamini Dental Care</t>
  </si>
  <si>
    <t>https://www.google.com/maps/place/Dr.+Yamini+Dental+Care/@28.8000373,76.1421294,17z/data=!3m1!4b1!4m6!3m5!1s0x391267dc3778f7b9:0x8402ca2e2762644d!8m2!3d28.8000373!4d76.1421294!16s%2Fg%2F11xtlvhp7d?authuser=0&amp;hl=en&amp;entry=ttu&amp;g_ep=EgoyMDI2MDYyOS4wIKXMDSoASAFQAw%3D%3D</t>
  </si>
  <si>
    <t>SHREE Balaji Dental Clinic,dadrigate Bhiwani</t>
  </si>
  <si>
    <t>https://www.google.com/maps/place/SHREE+Balaji+Dental+Clinic,dadrigate+Bhiwani/@28.7853141,76.1435932,17z/data=!3m1!4b1!4m6!3m5!1s0x39126131e9555555:0xe6ebf685b0d1cd7e!8m2!3d28.7853141!4d76.1435932!16s%2Fg%2F11cmtrs74k?authuser=0&amp;hl=en&amp;entry=ttu&amp;g_ep=EgoyMDI2MDYyOS4wIKXMDSoASAFQAw%3D%3D</t>
  </si>
  <si>
    <t>Shree Ram Dental Care And Implant Centre</t>
  </si>
  <si>
    <t>https://www.google.com/maps/place/Shree+Ram+Dental+Care+And+Implant+Centre/@28.8085601,76.1129896,17z/data=!4m6!3m5!1s0x3912670052481317:0xf5cd64cea0af0b4f!8m2!3d28.8085601!4d76.1129896!16s%2Fg%2F11y8l_g904?authuser=0&amp;hl=en&amp;entry=ttu&amp;g_ep=EgoyMDI2MDYyOS4wIKXMDSoASAFQAw%3D%3D</t>
  </si>
  <si>
    <t>Shri Kalyani Mata Dental clinic</t>
  </si>
  <si>
    <t>https://www.google.com/maps/place/Shri+Kalyani+Mata+Dental+clinic/@28.8010578,76.142317,17z/data=!3m1!4b1!4m6!3m5!1s0x391266d08885dabf:0x2cea09bca9aad8d!8m2!3d28.8010578!4d76.142317!16s%2Fg%2F11g9nf2h63?authuser=0&amp;hl=en&amp;entry=ttu&amp;g_ep=EgoyMDI2MDYyOS4wIKXMDSoASAFQAw%3D%3D</t>
  </si>
  <si>
    <t>Dr. Suman Dental Hospital</t>
  </si>
  <si>
    <t>https://www.google.com/maps/place/Dr.+Suman+Dental+Hospital/@28.7868741,76.1307898,17z/data=!3m1!4b1!4m6!3m5!1s0x391260d5759de6b1:0x7c603380b55d287!8m2!3d28.7868741!4d76.1307898!16s%2Fg%2F11d__cr8sg?authuser=0&amp;hl=en&amp;entry=ttu&amp;g_ep=EgoyMDI2MDYyOS4wIKXMDSoASAFQAw%3D%3D</t>
  </si>
  <si>
    <t>Shree Shyam Multi-speciality Dental clinic</t>
  </si>
  <si>
    <t>https://www.google.com/maps/place/Shree+Shyam+Multi-speciality+Dental+clinic/@28.7954074,76.1574093,17z/data=!3m1!4b1!4m6!3m5!1s0x3912670b9e6bf34d:0x23eba40cbd278df8!8m2!3d28.7954074!4d76.1574093!16s%2Fg%2F11yfkdd__4?authuser=0&amp;hl=en&amp;entry=ttu&amp;g_ep=EgoyMDI2MDYyOS4wIKXMDSoASAFQAw%3D%3D</t>
  </si>
  <si>
    <t>Balaji Dental Clinic</t>
  </si>
  <si>
    <t>https://www.google.com/maps/place/Balaji+Dental+Clinic/@28.7990959,76.1436103,17z/data=!3m1!4b1!4m6!3m5!1s0x391266c740da2327:0x9e6f347811b7266f!8m2!3d28.7990959!4d76.1436103!16s%2Fg%2F11bvss99yt?authuser=0&amp;hl=en&amp;entry=ttu&amp;g_ep=EgoyMDI2MDYyOS4wIKXMDSoASAFQAw%3D%3D</t>
  </si>
  <si>
    <t>Vivek Oro-Dental Care</t>
  </si>
  <si>
    <t>https://www.google.com/maps/place/Vivek+Oro-Dental+Care/@28.8001356,76.1406028,17z/data=!3m1!4b1!4m6!3m5!1s0x3912676b0255a8a5:0xd7fe19f0e4169372!8m2!3d28.8001356!4d76.1406028!16s%2Fg%2F11h3nhg12y?authuser=0&amp;hl=en&amp;entry=ttu&amp;g_ep=EgoyMDI2MDYyOS4wIKXMDSoASAFQAw%3D%3D</t>
  </si>
  <si>
    <t>dr.saurabh dental clinic</t>
  </si>
  <si>
    <t>https://www.google.com/maps/place/dr.saurabh+dental+clinic/@28.7913583,76.130935,17z/data=!3m1!4b1!4m6!3m5!1s0x3912672a96a4098b:0x7d2b0a639ae01b9d!8m2!3d28.7913583!4d76.130935!16s%2Fg%2F11g71b64td?authuser=0&amp;hl=en&amp;entry=ttu&amp;g_ep=EgoyMDI2MDYyOS4wIKXMDSoASAFQAw%3D%3D</t>
  </si>
  <si>
    <t>sharda dental care &amp; implant centre</t>
  </si>
  <si>
    <t>https://www.google.com/maps/place/sharda+dental+care+%26+implant+centre/@28.7959237,76.1466342,17z/data=!3m1!4b1!4m6!3m5!1s0x391266cc3155f887:0xe0eb79a4ace7db39!8m2!3d28.7959237!4d76.1466342!16s%2Fg%2F11vk0h9rmf?authuser=0&amp;hl=en&amp;entry=ttu&amp;g_ep=EgoyMDI2MDYyOS4wIKXMDSoASAFQAw%3D%3D</t>
  </si>
  <si>
    <t>Jyoti Dental Hospital</t>
  </si>
  <si>
    <t>https://www.google.com/maps/place/Jyoti+Dental+Hospital/@28.79562,76.155363,17z/data=!3m1!4b1!4m6!3m5!1s0x391266ca789feaab:0x7e5522df8f01821f!8m2!3d28.79562!4d76.155363!16s%2Fg%2F11cn9374_z?authuser=0&amp;hl=en&amp;entry=ttu&amp;g_ep=EgoyMDI2MDYyOS4wIKXMDSoASAFQAw%3D%3D</t>
  </si>
  <si>
    <t>Shri Balaji Dental Hospital</t>
  </si>
  <si>
    <t>https://www.google.com/maps/place/Shri+Balaji+Dental+Hospital/@28.9455268,76.0336166,17z/data=!3m1!4b1!4m6!3m5!1s0x391243cc03043bbd:0x9a3e8b54c497d40e!8m2!3d28.9455268!4d76.0336166!16s%2Fg%2F11c70hkc_q?authuser=0&amp;hl=en&amp;entry=ttu&amp;g_ep=EgoyMDI2MDYyOS4wIKXMDSoASAFQAw%3D%3D</t>
  </si>
  <si>
    <t>Las Vegas</t>
  </si>
  <si>
    <t>Las Vegas Chiropractic Center</t>
  </si>
  <si>
    <t>https://www.google.com/maps/place/Las+Vegas+Chiropractic+Center/@36.1446053,-115.1341208,17z/data=!3m1!4b1!4m6!3m5!1s0x80c8c484357b1589:0xce9c05287e1b799a!8m2!3d36.1446053!4d-115.1341208!16s%2Fg%2F11c433v47f?authuser=0&amp;hl=en&amp;entry=ttu&amp;g_ep=EgoyMDI2MDYyOS4wIKXMDSoASAFQAw%3D%3D</t>
  </si>
  <si>
    <t>Chiropractor</t>
  </si>
  <si>
    <t>Las Vegas Valley Chiropractic</t>
  </si>
  <si>
    <t>https://www.google.com/maps/place/Las+Vegas+Valley+Chiropractic/@36.1718544,-115.1151912,17z/data=!3m1!4b1!4m6!3m5!1s0x80c8c49f758360f1:0x9bdb2022a71b4908!8m2!3d36.1718544!4d-115.1151912!16s%2Fg%2F1td4dv4z?authuser=0&amp;hl=en&amp;entry=ttu&amp;g_ep=EgoyMDI2MDYyOS4wIKXMDSoASAFQAw%3D%3D</t>
  </si>
  <si>
    <t>Advanced Chiropractic</t>
  </si>
  <si>
    <t>https://www.google.com/maps/place/Advanced+Chiropractic/@36.1594883,-115.1357404,17z/data=!3m1!4b1!4m6!3m5!1s0x80c8c37976b6bdfb:0x1278b92841be3886!8m2!3d36.1594883!4d-115.1357404!16s%2Fg%2F1vfp8h0s?authuser=0&amp;hl=en&amp;entry=ttu&amp;g_ep=EgoyMDI2MDYyOS4wIKXMDSoASAFQAw%3D%3D</t>
  </si>
  <si>
    <t>Valley Pediatrics &amp; Specialty Center</t>
  </si>
  <si>
    <t>https://www.google.com/maps/place/Valley+Pediatrics+%26+Specialty+Center/@36.1760183,-115.1165299,17z/data=!3m1!4b1!4m6!3m5!1s0x80c8c33f88cc26a1:0xfaaf533312fd4e6c!8m2!3d36.1760183!4d-115.1165299!16s%2Fg%2F11byyjyv_6?authuser=0&amp;hl=en&amp;entry=ttu&amp;g_ep=EgoyMDI2MDYyOS4wIKXMDSoASAFQAw%3D%3D</t>
  </si>
  <si>
    <t>Valley Pediatric &amp; Specialty Center</t>
  </si>
  <si>
    <t>https://www.google.com/maps/place/Valley+Pediatric+%26+Specialty+Center/@36.1586879,-115.1903562,17z/data=!3m1!4b1!4m6!3m5!1s0x80c8c3e1200748b9:0x585c2473333ad9b4!8m2!3d36.1586879!4d-115.1903562!16s%2Fg%2F1tcv6lll?authuser=0&amp;hl=en&amp;entry=ttu&amp;g_ep=EgoyMDI2MDYyOS4wIKXMDSoASAFQAw%3D%3D</t>
  </si>
  <si>
    <t xml:space="preserve">Medical Group </t>
  </si>
  <si>
    <t>Rajasthan</t>
  </si>
  <si>
    <t>Metro Dental Care Dr. Arjun Patel</t>
  </si>
  <si>
    <t>https://www.google.com/maps/place/Metro+Dental+Care+Dr.+Arjun+Patel/@25.8317114,72.2437431,17z/data=!3m1!4b1!4m6!3m5!1s0x3943e8d14786e341:0xf0ed21d2a222ab93!8m2!3d25.8317114!4d72.2437431!16s%2Fg%2F11c3k54phs?authuser=0&amp;hl=en&amp;entry=ttu&amp;g_ep=EgoyMDI2MDYyOS4wIKXMDSoASAFQAw%3D%3D</t>
  </si>
  <si>
    <t>Smile Dental Care</t>
  </si>
  <si>
    <t>https://www.google.com/maps/place/Smile+Dental+Care/@25.8320511,72.2413813,17z/data=!3m1!4b1!4m6!3m5!1s0x3943e9b17fbb01b7:0xe1bcb7df195583d6!8m2!3d25.8320511!4d72.2413813!16s%2Fg%2F11ydmmd75p?authuser=0&amp;hl=en&amp;entry=ttu&amp;g_ep=EgoyMDI2MDYyOS4wIKXMDSoASAFQAw%3D%3D</t>
  </si>
  <si>
    <t>DR S K RAJPUROHIT SKIN LASER AND HAIR CLINIC</t>
  </si>
  <si>
    <t>https://www.google.com/maps/place/DR+S+K+RAJPUROHIT+SKIN+LASER+AND+HAIR+CLINIC/@25.8241817,72.2445696,17z/data=!3m1!4b1!4m6!3m5!1s0x3943e9d6d8228c4d:0xaa1d89062747b52!8m2!3d25.8241817!4d72.2445696!16s%2Fg%2F11wwzblrg_?authuser=0&amp;hl=en&amp;entry=ttu&amp;g_ep=EgoyMDI2MDYyOS4wIKXMDSoASAFQAw%3D%3D</t>
  </si>
  <si>
    <t>Doctor</t>
  </si>
  <si>
    <t>Centre For Smile - Multispeciality Dental Clinic in Balotra</t>
  </si>
  <si>
    <t>https://www.google.com/maps/place/Centre+For+Smile+-+Multispeciality+Dental+Clinic+in+Balotra/@25.8280141,72.2479757,17z/data=!3m1!4b1!4m6!3m5!1s0x3943e984f51f16a1:0xe2bc06444564baff!8m2!3d25.8280141!4d72.2479757!16s%2Fg%2F11vs7xtf7_?authuser=0&amp;hl=en&amp;entry=ttu&amp;g_ep=EgoyMDI2MDYyOS4wIKXMDSoASAFQAw%3D%3D</t>
  </si>
  <si>
    <t>Balotra pet clinic( animal hospital)</t>
  </si>
  <si>
    <t>https://www.google.com/maps/place/Balotra+pet+clinic(+animal+hospital)/@25.8365599,72.2481875,17z/data=!3m1!4b1!4m6!3m5!1s0x3943e9002b584957:0x3587c2b1100f7f7!8m2!3d25.8365599!4d72.2481875!16s%2Fg%2F11vrlqf3h_?authuser=0&amp;hl=en&amp;entry=ttu&amp;g_ep=EgoyMDI2MDYyOS4wIKXMDSoASAFQAw%3D%3D</t>
  </si>
  <si>
    <t>Veterinarian</t>
  </si>
  <si>
    <t>Mahadev Dental Lab &amp; Cadcam</t>
  </si>
  <si>
    <t>https://www.google.com/maps/place/Mahadev+Dental+Lab+%26+Cadcam/@25.8321576,72.244353,17z/data=!3m1!4b1!4m6!3m5!1s0x3943e923187717f3:0x291e7014b7175466!8m2!3d25.8321576!4d72.244353!16s%2Fg%2F11ydwxyzmd?authuser=0&amp;hl=en&amp;entry=ttu&amp;g_ep=EgoyMDI2MDYyOS4wIKXMDSoASAFQAw%3D%3D</t>
  </si>
  <si>
    <t>Dr Bhairu Pet Clinic Balotra</t>
  </si>
  <si>
    <t>https://www.google.com/maps/place/Dr+Bhairu+Pet+Clinic+Balotra/@25.8548492,72.2531219,17z/data=!3m1!4b1!4m6!3m5!1s0x3943e9f1e1a31ec3:0x2a946aa25ee3f19f!8m2!3d25.8548492!4d72.2531219!16s%2Fg%2F11wflt3gns?authuser=0&amp;hl=en&amp;entry=ttu&amp;g_ep=EgoyMDI2MDYyOS4wIKXMDSoASAFQAw%3D%3D</t>
  </si>
  <si>
    <t>Animal Hospital</t>
  </si>
  <si>
    <t>Dr. Dileep Advance Physiotherapy Clinic</t>
  </si>
  <si>
    <t>https://www.google.com/maps/place/Dr.+Dileep+Advance+Physiotherapy+Clinic/@25.8291303,72.2442419,17z/data=!3m1!4b1!4m6!3m5!1s0x3943e9bc58d8996f:0x81e3de61e7d96ad8!8m2!3d25.8291303!4d72.2442419!16s%2Fg%2F11n3wvxrlt?authuser=0&amp;hl=en&amp;entry=ttu&amp;g_ep=EgoyMDI2MDYyOS4wIKXMDSoASAFQAw%3D%3D</t>
  </si>
  <si>
    <t>Physiotherapist</t>
  </si>
  <si>
    <t>Pranjal Physiotherapy And Rehab Center</t>
  </si>
  <si>
    <t>https://www.google.com/maps/place/Pranjal+Physiotherapy+And+Rehab+Center/@25.8278793,72.2495411,17z/data=!3m1!4b1!4m6!3m5!1s0x3943e90072ce67af:0x5bc2064deb2c69ab!8m2!3d25.8278793!4d72.2495411!16s%2Fg%2F11ln_j6xwf?authuser=0&amp;hl=en&amp;entry=ttu&amp;g_ep=EgoyMDI2MDYyOS4wIKXMDSoASAFQAw%3D%3D</t>
  </si>
  <si>
    <t>HERBALIFE BALOTRA NUTRITION CENTRE</t>
  </si>
  <si>
    <t>https://www.google.com/maps/place/HERBALIFE+BALOTRA+NUTRITION+CENTRE/@25.8316038,72.2428389,17z/data=!3m1!4b1!4m6!3m5!1s0x3943e8d13aebcf31:0x5b71e58695b8ee26!8m2!3d25.8316038!4d72.2428389!16s%2Fg%2F11hz5_0s_8?authuser=0&amp;hl=en&amp;entry=ttu&amp;g_ep=EgoyMDI2MDYyOS4wIKXMDSoASAFQAw%3D%3D</t>
  </si>
  <si>
    <t>Nutritionist</t>
  </si>
  <si>
    <t>SURESH OPTICALS</t>
  </si>
  <si>
    <t>https://www.google.com/maps/place/SURESH+OPTICALS/@25.8271215,72.2436283,17z/data=!3m1!4b1!4m6!3m5!1s0x3943e8d429c8a457:0x7a2c09adf51a50d3!8m2!3d25.8271215!4d72.2436283!16s%2Fg%2F11f_p2lpj7?authuser=0&amp;hl=en&amp;entry=ttu&amp;g_ep=EgoyMDI2MDYyOS4wIKXMDSoASAFQAw%3D%3D</t>
  </si>
  <si>
    <t>Eye care center</t>
  </si>
  <si>
    <t>S.R Opticals || Best Optical Shop, Eye Testing Shop, Chasma Shop</t>
  </si>
  <si>
    <t>https://www.google.com/maps/place/S.R+Opticals+%7C%7C+Best+Optical+Shop,+Eye+Testing+Shop,+Chasma+Shop/@25.8316729,72.2374477,17z/data=!3m1!4b1!4m6!3m5!1s0x3943e98249e4c119:0x56ecd8aab59b9f31!8m2!3d25.8316729!4d72.2374477!16s%2Fg%2F11vb_snkz8?authuser=0&amp;hl=en&amp;entry=ttu&amp;g_ep=EgoyMDI2MDYyOS4wIKXMDSoASAFQAw%3D%3D</t>
  </si>
  <si>
    <t>Optician</t>
  </si>
  <si>
    <t>Navkar optical</t>
  </si>
  <si>
    <t>https://www.google.com/maps/place/Navkar+optical/@25.8390017,72.2504796,17z/data=!3m1!4b1!4m6!3m5!1s0x3943e95270f8c0c1:0xf91725ff3cf2aa59!8m2!3d25.8390017!4d72.2504796!16s%2Fg%2F11xnnh98ls?authuser=0&amp;hl=en&amp;entry=ttu&amp;g_ep=EgoyMDI2MDYyOS4wIKXMDSoASAFQAw%3D%3D</t>
  </si>
  <si>
    <t>Optical instrument repair service</t>
  </si>
  <si>
    <t>DR. HARUN KHAN M.S.ENT</t>
  </si>
  <si>
    <t>https://www.google.com/maps/place/DR.+HARUN+KHAN+M.S.ENT/@25.8329983,72.2422765,17z/data=!3m1!4b1!4m6!3m5!1s0x3943e94ef4c880fd:0x7ace70efcdd0477b!8m2!3d25.8329983!4d72.2422765!16s%2Fg%2F11s91mrrr4?authuser=0&amp;hl=en&amp;entry=ttu&amp;g_ep=EgoyMDI2MDYyOS4wIKXMDSoASAFQAw%3D%3D</t>
  </si>
  <si>
    <t>ENT Specialist</t>
  </si>
  <si>
    <t>Dr Manish Sethiya Balotara</t>
  </si>
  <si>
    <t>https://www.google.com/maps/place/Dr+Manish+Sethiya+Balotara/@25.8291853,72.2424502,17z/data=!3m1!4b1!4m6!3m5!1s0x3943e943e33db8fd:0xa031398da2920271!8m2!3d25.8291853!4d72.2424502!16s%2Fg%2F11g0lc8nwq?authuser=0&amp;hl=en&amp;entry=ttu&amp;g_ep=EgoyMDI2MDYyOS4wIKXMDSoASAFQAw%3D%3D</t>
  </si>
  <si>
    <t>Skin Care Clinic</t>
  </si>
  <si>
    <t>Dr Kalpesh Choudhary || Best Skin Hospital, Skin Clinic, Cosmetic And Laser Hospital, Dermatologist</t>
  </si>
  <si>
    <t>https://www.google.com/maps/place/Dr+Kalpesh+Choudhary+%7C%7C+Best+Skin+Hospital,+Skin+Clinic,+Cosmetic+And+Laser+Hospital,+Dermatologist/@25.8288513,72.2554653,17z/data=!3m1!4b1!4m6!3m5!1s0x3943e8df24750a0b:0xbc422cb7ac6cb029!8m2!3d25.8288513!4d72.2554653!16s%2Fg%2F11bxdwwz_8?authuser=0&amp;hl=en&amp;entry=ttu&amp;g_ep=EgoyMDI2MDYyOS4wIKXMDSoASAFQAw%3D%3D</t>
  </si>
  <si>
    <t>Dr.Ramniwas ( Skin and Vd)</t>
  </si>
  <si>
    <t>https://www.google.com/maps/place/Dr.Ramniwas+(+Skin+and+Vd)/@25.8313609,72.2443436,17z/data=!3m1!4b1!4m6!3m5!1s0x3943e9003fae2773:0x5593f590e5522ae5!8m2!3d25.8313609!4d72.2443436!16s%2Fg%2F11w39_szp2?authuser=0&amp;hl=en&amp;entry=ttu&amp;g_ep=EgoyMDI2MDYyOS4wIKXMDSoASAFQAw%3D%3D</t>
  </si>
  <si>
    <t>Dermatologist</t>
  </si>
  <si>
    <t>Dr.SK DermaCare, Balotra</t>
  </si>
  <si>
    <t>https://www.google.com/maps/place/Dr.SK+DermaCare,+Balotra/@25.8241719,72.2447554,17z/data=!3m1!4b1!4m6!3m5!1s0x3943e9005787ad0f:0xd050bb50ace45c81!8m2!3d25.8241719!4d72.2447554!16s%2Fg%2F11yb1hlgsl?authuser=0&amp;hl=en&amp;entry=ttu&amp;g_ep=EgoyMDI2MDYyOS4wIKXMDSoASAFQAw%3D%3D</t>
  </si>
  <si>
    <t>Nakhrali Beauty Studio</t>
  </si>
  <si>
    <t>https://www.google.com/maps/place/Nakhrali+Beauty+Studio/@25.8329866,72.2394566,17z/data=!3m1!4b1!4m6!3m5!1s0x3943e956cae68bc7:0x6df81d71a648953e!8m2!3d25.8329866!4d72.2394566!16s%2Fg%2F11k39ygmcc?authuser=0&amp;hl=en&amp;entry=ttu&amp;g_ep=EgoyMDI2MDYyOS4wIKXMDSoASAFQAw%3D%3D</t>
  </si>
  <si>
    <t>Beauty Parlour</t>
  </si>
  <si>
    <t>Cut N Crease luxe international ladies salon</t>
  </si>
  <si>
    <t>https://www.google.com/maps/place/Cut+N+Crease+luxe+international+ladies+salon/@25.8299483,72.2436028,17z/data=!3m1!4b1!4m6!3m5!1s0x3943e90b86bce715:0xc3dc19d419fc1663!8m2!3d25.8299483!4d72.2436028!16s%2Fg%2F11f8mgs5dx?authuser=0&amp;hl=en&amp;entry=ttu&amp;g_ep=EgoyMDI2MDYyOS4wIKXMDSoASAFQAw%3D%3D</t>
  </si>
  <si>
    <t>Royal Majestic Beauty Parlour</t>
  </si>
  <si>
    <t>https://www.google.com/maps/place/Royal+Majestic+Beauty+Parlour/@25.8276286,72.2448757,17z/data=!3m1!4b1!4m6!3m5!1s0x3943e9c1e6345fed:0xa94349222581d4d9!8m2!3d25.8276286!4d72.2448757!16s%2Fg%2F11tfkk3m4c?authuser=0&amp;hl=en&amp;entry=ttu&amp;g_ep=EgoyMDI2MDYyOS4wIKXMDSoASAFQAw%3D%3D</t>
  </si>
  <si>
    <t>Make-up By komal Singhal, komal beauty parlour</t>
  </si>
  <si>
    <t>https://www.google.com/maps/place/Make-up+By+komal+Singhal,+komal+beauty+parlour/@25.8303025,72.2394526,13z/data=!3m1!4b1!4m6!3m5!1s0x3943efaa800ffd81:0x939a7c1a4b10168b!8m2!3d25.8303025!4d72.2394526!16s%2Fg%2F11r_wk0vky?authuser=0&amp;hl=en&amp;entry=ttu&amp;g_ep=EgoyMDI2MDYyOS4wIKXMDSoASAFQAw%3D%3D</t>
  </si>
  <si>
    <t>Make-up Artist</t>
  </si>
  <si>
    <t>Los Angeles</t>
  </si>
  <si>
    <t>Mental Health &amp; Medication Assisted, Center</t>
  </si>
  <si>
    <t>https://www.google.com/maps/place/Mental+Health+%26+Medication+Assisted,+Center/@34.0622434,-118.3208621,17z/data=!3m1!4b1!4m6!3m5!1s0x80c2b97b9676cac5:0x3e6d72b3fdac13fd!8m2!3d34.0622434!4d-118.3208621!16s%2Fg%2F11lnj4zvzt?authuser=0&amp;hl=en&amp;entry=ttu&amp;g_ep=EgoyMDI2MDYyOS4wIKXMDSoASAFQAw%3D%3D</t>
  </si>
  <si>
    <t>Mental Hospital</t>
  </si>
  <si>
    <t>New U Therapy Center &amp; Family Services</t>
  </si>
  <si>
    <t>https://www.google.com/maps/place/New+U+Therapy+Center+%26+Family+Services/@34.0622434,-118.3208621,17z/data=!3m1!4b1!4m6!3m5!1s0x8824d70470299ea5:0xb5241ecb8ac93bfb!8m2!3d34.0622434!4d-118.3208621!16s%2Fg%2F11vdjkrdjj?authuser=0&amp;hl=en&amp;entry=ttu&amp;g_ep=EgoyMDI2MDYyOS4wIKXMDSoASAFQAw%3D%3D</t>
  </si>
  <si>
    <t>lemona behavioral health center 24/7 help</t>
  </si>
  <si>
    <t>https://www.google.com/maps/place/lemona+behavioral+health+center+24%2F7+help/@34.2301413,-118.4595413,17z/data=!3m1!4b1!4m6!3m5!1s0x80c291fb3feec2bf:0xfd12807fdf98b4d3!8m2!3d34.2301413!4d-118.4595413!16s%2Fg%2F11ymqd7vx_?authuser=0&amp;hl=en&amp;entry=ttu&amp;g_ep=EgoyMDI2MDYyOS4wIKXMDSoASAFQAw%3D%3D</t>
  </si>
  <si>
    <t>Behavioral Medicine Services Department</t>
  </si>
  <si>
    <t>https://www.google.com/maps/place/Behavioral+Medicine+Services+Department/@34.0491807,-118.2172693,17z/data=!3m1!4b1!4m6!3m5!1s0x80c2c6127fa3b77b:0x9825d28e92976bf5!8m2!3d34.0491807!4d-118.2172693!16s%2Fg%2F1v6l7rvc?authuser=0&amp;hl=en&amp;entry=ttu&amp;g_ep=EgoyMDI2MDYyOS4wIKXMDSoASAFQAw%3D%3D</t>
  </si>
  <si>
    <t>Mental health service</t>
  </si>
  <si>
    <t>FMI Integrative Behavioral Health &amp; Longevity Medicine, PC</t>
  </si>
  <si>
    <t>https://www.google.com/maps/place/FMI+Integrative+Behavioral+Health+%26+Longevity+Medicine,+PC/@33.9457997,-118.3826754,17z/data=!3m1!4b1!4m6!3m5!1s0x80c2b7d029daebc7:0xd3a8c418660b57a4!8m2!3d33.9457997!4d-118.3826754!16s%2Fg%2F11zbq9fzm9?authuser=0&amp;hl=en&amp;entry=ttu&amp;g_ep=EgoyMDI2MDYyOS4wIKXMDSoASAFQAw%3D%3D</t>
  </si>
  <si>
    <t>Gujarat</t>
  </si>
  <si>
    <t>SHREE MATERNITY &amp; NURSING HOME</t>
  </si>
  <si>
    <t>https://www.google.com/maps/place/SHREE+MATERNITY+%26+NURSING+HOME/@22.5546456,72.9675197,17z/data=!3m1!4b1!4m6!3m5!1s0x395e4e9fb9c48221:0xc962393ffa33bca8!8m2!3d22.5546456!4d72.9675197!16s%2Fg%2F11csq2n1rk?authuser=0&amp;hl=en&amp;entry=ttu&amp;g_ep=EgoyMDI2MDYyOS4wIKXMDSoASAFQAw%3D%3D</t>
  </si>
  <si>
    <t>Anand Medical Nursing Home Dr. Jayesh Shah</t>
  </si>
  <si>
    <t>https://www.google.com/maps/place/Anand+Medical+Nursing+Home+Dr.+Jayesh+Shah/@22.3014875,73.2298786,17z/data=!3m1!4b1!4m6!3m5!1s0x395fc8acd8cf46b9:0x84d39b834bed28a5!8m2!3d22.3014875!4d73.2298786!16s%2Fg%2F1tknz5pf?authuser=0&amp;hl=en&amp;entry=ttu&amp;g_ep=EgoyMDI2MDYyOS4wIKXMDSoASAFQAw%3D%3D</t>
  </si>
  <si>
    <t>Nursing Home</t>
  </si>
  <si>
    <t>Anand Maternity &amp; Nursing Home</t>
  </si>
  <si>
    <t>https://www.google.com/maps/place/Anand+Maternity+%26+Nursing+Home/@23.2440774,72.6495546,17z/data=!3m1!4b1!4m6!3m5!1s0x395c2b901dee84b7:0x253c544fa39449b!8m2!3d23.2440774!4d72.6495546!16s%2Fg%2F1ptvsm_73?authuser=0&amp;hl=en&amp;entry=ttu&amp;g_ep=EgoyMDI2MDYyOS4wIKXMDSoASAFQAw%3D%3D</t>
  </si>
  <si>
    <t>AREVA - CENTRE FOR PAIN MANAGEMENT &amp; DENTAL CARE</t>
  </si>
  <si>
    <t>https://www.google.com/maps/place/AREVA+-+CENTRE+FOR+PAIN+MANAGEMENT+%26+DENTAL+CARE/@22.565449,72.9448697,17z/data=!3m1!4b1!4m6!3m5!1s0x395e4f0cf08d914f:0x2b05e84137c5f747!8m2!3d22.565449!4d72.9448697!16s%2Fg%2F11ywy5k0_2?authuser=0&amp;hl=en&amp;entry=ttu&amp;g_ep=EgoyMDI2MDYyOS4wIKXMDSoASAFQAw%3D%3D</t>
  </si>
  <si>
    <t>Pain management physician</t>
  </si>
  <si>
    <t>Aatman Care- Pain Management, Palliative Care, Psychiatry and De-addiction Clinic in Vadodara</t>
  </si>
  <si>
    <t>https://www.google.com/maps/place/Aatman+Care-+Pain+Management,+Palliative+Care,+Psychiatry+and+De-addiction+Clinic+in+Vadodara/@22.3074188,73.175094,17z/data=!3m1!4b1!4m6!3m5!1s0x395fc9b57242a527:0x4fcd104d7c39bdaf!8m2!3d22.3074188!4d73.175094!16s%2Fg%2F11vbsdg11c?authuser=0&amp;hl=en&amp;entry=ttu&amp;g_ep=EgoyMDI2MDYyOS4wIKXMDSoASAFQAw%3D%3D</t>
  </si>
  <si>
    <t>Dr Rahul Parmar</t>
  </si>
  <si>
    <t>https://www.google.com/maps/place/Dr+Rahul+Parmar/@22.5649119,72.9487517,17z/data=!3m1!4b1!4m6!3m5!1s0x395e4fd6c0afdc49:0xf5752bb2d0f4638!8m2!3d22.5649119!4d72.9487517!16s%2Fg%2F11rbkv8qj2?authuser=0&amp;hl=en&amp;entry=ttu&amp;g_ep=EgoyMDI2MDYyOS4wIKXMDSoASAFQAw%3D%3D</t>
  </si>
  <si>
    <t>Orthopedic Surgeon</t>
  </si>
  <si>
    <t>URJA ACUPRESSURE CENTER</t>
  </si>
  <si>
    <t>https://www.google.com/maps/place/URJA+ACUPRESSURE+CENTER/@22.5434054,72.9227668,17z/data=!3m1!4b1!4m6!3m5!1s0x395e4f91848271ab:0xf3818cc5d5c2e8cd!8m2!3d22.5434054!4d72.9227668!16s%2Fg%2F11g1hjs_ym?authuser=0&amp;hl=en&amp;entry=ttu&amp;g_ep=EgoyMDI2MDYyOS4wIKXMDSoASAFQAw%3D%3D</t>
  </si>
  <si>
    <t>Health Consultant</t>
  </si>
  <si>
    <t>Dr. Milan Mehta</t>
  </si>
  <si>
    <t>https://www.google.com/maps/place/Dr.+Milan+Mehta/@23.0584298,72.517709,17z/data=!3m1!4b1!4m6!3m5!1s0x395e9ca9a56f70cb:0x9eb625e707e3e1c!8m2!3d23.0584298!4d72.517709!16s%2Fg%2F11gd1wstf7?authuser=0&amp;hl=en&amp;entry=ttu&amp;g_ep=EgoyMDI2MDYyOS4wIKXMDSoASAFQAw%3D%3D</t>
  </si>
  <si>
    <t>Kundan Massage therapy Center</t>
  </si>
  <si>
    <t>https://www.google.com/maps/place/Kundan+Massage+therapy+Center/@22.5430444,72.9031173,17z/data=!3m1!4b1!4m6!3m5!1s0x395e4d536539b0cb:0x84c54fc9fce6d964!8m2!3d22.5430444!4d72.9031173!16s%2Fg%2F11vlk0ncg9?authuser=0&amp;hl=en&amp;entry=ttu&amp;g_ep=EgoyMDI2MDYyOS4wIKXMDSoASAFQAw%3D%3D</t>
  </si>
  <si>
    <t>Massage Therapist</t>
  </si>
  <si>
    <t>Nishaansh pediatric rehabilitation speech therapy centre</t>
  </si>
  <si>
    <t>https://www.google.com/maps/place/Nishaansh+pediatric+rehabilitation+speech+therapy+centre/@22.561794,72.9228433,17z/data=!3m1!4b1!4m6!3m5!1s0x395e4fc8021f7b6d:0xe045b7c0c9d27fc!8m2!3d22.561794!4d72.9228433!16s%2Fg%2F11ys06831w?authuser=0&amp;hl=en&amp;entry=ttu&amp;g_ep=EgoyMDI2MDYyOS4wIKXMDSoASAFQAw%3D%3D</t>
  </si>
  <si>
    <t>Child Health Care Center</t>
  </si>
  <si>
    <t>Anand Occupational Therapy centre, Dr.Deepak Ganjiwale</t>
  </si>
  <si>
    <t>https://www.google.com/maps/place/Anand+Occupational+Therapy+centre,+Dr.Deepak+Ganjiwale/@22.560935,72.9249985,17z/data=!3m1!4b1!4m6!3m5!1s0x395e5206ad979945:0x5e3e3bc543960156!8m2!3d22.560935!4d72.9249985!16s%2Fg%2F11dztrs2js?authuser=0&amp;hl=en&amp;entry=ttu&amp;g_ep=EgoyMDI2MDYyOS4wIKXMDSoASAFQAw%3D%3D</t>
  </si>
  <si>
    <t>Occupational therapist</t>
  </si>
  <si>
    <t>HUDA Hijama Care</t>
  </si>
  <si>
    <t>https://www.google.com/maps/place/HUDA+Hijama+Care/@22.5741909,72.9568204,17z/data=!3m1!4b1!4m6!3m5!1s0x395e4fbe04f5f25d:0x9ebb1afd27b81b73!8m2!3d22.5741909!4d72.9568204!16s%2Fg%2F11xgd8f19k?authuser=0&amp;hl=en&amp;entry=ttu&amp;g_ep=EgoyMDI2MDYyOS4wIKXMDSoASAFQAw%3D%3D</t>
  </si>
  <si>
    <t>DR NALIN SHAH</t>
  </si>
  <si>
    <t>https://www.google.com/maps/place/DR+NALIN+SHAH/@22.5632394,72.9515831,17z/data=!3m1!4b1!4m6!3m5!1s0x395e4fbddac44415:0x61e13a1b354bee1d!8m2!3d22.5632394!4d72.9515831!16s%2Fg%2F11jsjdlyql?authuser=0&amp;hl=en&amp;entry=ttu&amp;g_ep=EgoyMDI2MDYyOS4wIKXMDSoASAFQAw%3D%3D</t>
  </si>
  <si>
    <t>Kush Child Development Centre</t>
  </si>
  <si>
    <t>https://www.google.com/maps/place/Kush+Child+Development+Centre/@22.6905127,72.868475,17z/data=!3m1!4b1!4m6!3m5!1s0x395e5bc017939039:0xd212e812ff956e06!8m2!3d22.6905127!4d72.868475!16s%2Fg%2F11ym1fwpfj?authuser=0&amp;hl=en&amp;entry=ttu&amp;g_ep=EgoyMDI2MDYyOS4wIKXMDSoASAFQAw%3D%3D</t>
  </si>
  <si>
    <t>Shree Reelife (Trading &amp; Healing Center)</t>
  </si>
  <si>
    <t>https://www.google.com/maps/place/Shree+Reelife+(Trading+%26+Healing+Center)/@22.6797165,72.8721699,17z/data=!3m1!4b1!4m6!3m5!1s0x395e5b4acbe8864f:0x778c6e7d6dbccc99!8m2!3d22.6797165!4d72.8721699!16s%2Fg%2F11t7vjftb0?authuser=0&amp;hl=en&amp;entry=ttu&amp;g_ep=EgoyMDI2MDYyOS4wIKXMDSoASAFQAw%3D%3D</t>
  </si>
  <si>
    <t>Phenom Housing</t>
  </si>
  <si>
    <t>https://www.google.com/maps/place/Phenom+Housing/@22.1618508,71.9330906,8z/data=!3m1!4b1!4m6!3m5!1s0x395e4f680dad306b:0xbd5d11c26c0db405!8m2!3d22.1618508!4d71.9330906!16s%2Fg%2F11q1pdw_8x?authuser=0&amp;hl=en&amp;entry=ttu&amp;g_ep=EgoyMDI2MDYyOS4wIKXMDSoASAFQAw%3D%3D</t>
  </si>
  <si>
    <t>Awesome Institute For Language</t>
  </si>
  <si>
    <t>https://www.google.com/maps/place/Awesome+Institute+For+Language/@22.5571948,72.9547196,17z/data=!3m1!4b1!4m6!3m5!1s0x395e4e8380e135df:0x4d88100e0799d6f!8m2!3d22.5571948!4d72.9547196!16s%2Fg%2F11gdrdlk92?authuser=0&amp;hl=en&amp;entry=ttu&amp;g_ep=EgoyMDI2MDYyOS4wIKXMDSoASAFQAw%3D%3D</t>
  </si>
  <si>
    <t>English Language School</t>
  </si>
  <si>
    <t>World Masters</t>
  </si>
  <si>
    <t>https://www.google.com/maps/place/World+Masters/@22.5542713,72.9290625,17z/data=!3m1!4b1!4m6!3m5!1s0x395e4fd7a4211cdb:0x7a097895485b82c8!8m2!3d22.5542713!4d72.9290625!16s%2Fg%2F11j1bgcgqv?authuser=0&amp;hl=en&amp;entry=ttu&amp;g_ep=EgoyMDI2MDYyOS4wIKXMDSoASAFQAw%3D%3D</t>
  </si>
  <si>
    <t>Coaching Center</t>
  </si>
  <si>
    <t>GARV TUTORIALS</t>
  </si>
  <si>
    <t>https://www.google.com/maps/place/GARV+TUTORIALS/@22.544828,72.972025,17z/data=!3m1!4b1!4m6!3m5!1s0x395e4dab03893847:0x5e6f2bea114ffe7a!8m2!3d22.544828!4d72.972025!16s%2Fg%2F11knmttvjp?authuser=0&amp;hl=en&amp;entry=ttu&amp;g_ep=EgoyMDI2MDYyOS4wIKXMDSoASAFQAw%3D%3D</t>
  </si>
  <si>
    <t>Mindsprout English Classes</t>
  </si>
  <si>
    <t>https://www.google.com/maps/place/Mindsprout+English+Classes/@22.5704694,72.9181046,17z/data=!3m1!4b1!4m6!3m5!1s0x395e4fcd8533ca5f:0xbd26eefa2f73a718!8m2!3d22.5704694!4d72.9181046!16s%2Fg%2F11v0z0phsr?authuser=0&amp;hl=en&amp;entry=ttu&amp;g_ep=EgoyMDI2MDYyOS4wIKXMDSoASAFQAw%3D%3D</t>
  </si>
  <si>
    <t>Kanan International</t>
  </si>
  <si>
    <t>https://www.google.com/maps/place/Kanan+International/@22.5481777,72.9264473,17z/data=!3m1!4b1!4m6!3m5!1s0x395e4ddf60cb1e83:0x4cd50ff293bd85!8m2!3d22.5481777!4d72.9264473!16s%2Fg%2F1v6p2p61?authuser=0&amp;hl=en&amp;entry=ttu&amp;g_ep=EgoyMDI2MDYyOS4wIKXMDSoASAFQAw%3D%3D</t>
  </si>
  <si>
    <t>Educational Consultant</t>
  </si>
  <si>
    <t>Flames Academy - Best Tuition Class In Your Town</t>
  </si>
  <si>
    <t>https://www.google.com/maps/place/Flames+Academy+-+Best+Tuition+Class+In+Your+Town/@22.5535045,72.9548406,17z/data=!3m1!4b1!4m6!3m5!1s0x395e4fe2740c5813:0xa6ac9e854b43ca6e!8m2!3d22.5535045!4d72.9548406!16s%2Fg%2F11s2j4lp96?authuser=0&amp;hl=en&amp;entry=ttu&amp;g_ep=EgoyMDI2MDYyOS4wIKXMDSoASAFQAw%3D%3D</t>
  </si>
  <si>
    <t>Education Center</t>
  </si>
  <si>
    <t>Sahajanand Classes</t>
  </si>
  <si>
    <t>https://www.google.com/maps/place/Sahajanand+Classes/@22.5556834,72.928437,17z/data=!3m1!4b1!4m6!3m5!1s0x395e4e715f8482e3:0x270c0a14c19d8c71!8m2!3d22.5556834!4d72.928437!16s%2Fg%2F11bv197sq8?authuser=0&amp;hl=en&amp;entry=ttu&amp;g_ep=EgoyMDI2MDYyOS4wIKXMDSoASAFQAw%3D%3D</t>
  </si>
  <si>
    <t>Pragati Study Center</t>
  </si>
  <si>
    <t>https://www.google.com/maps/place/Pragati+Study+Center/@22.5554738,72.9504397,17z/data=!3m1!4b1!4m6!3m5!1s0x395e4e81153c7ddb:0xbf2d2fe1433744af!8m2!3d22.5554738!4d72.9504397!16s%2Fg%2F1264dl14h?authuser=0&amp;hl=en&amp;entry=ttu&amp;g_ep=EgoyMDI2MDYyOS4wIKXMDSoASAFQAw%3D%3D</t>
  </si>
  <si>
    <t>EXCELLENT CLASSES</t>
  </si>
  <si>
    <t>https://www.google.com/maps/place/EXCELLENT+CLASSES/@22.5643916,72.944725,17z/data=!3m1!4b1!4m6!3m5!1s0x395e4f7e0fd598a9:0xd104e0617855c53c!8m2!3d22.5643916!4d72.944725!16s%2Fg%2F11s211x5gk?authuser=0&amp;hl=en&amp;entry=ttu&amp;g_ep=EgoyMDI2MDYyOS4wIKXMDSoASAFQAw%3D%3D</t>
  </si>
  <si>
    <t>Golden Hills Professional Center, Bldg 2680, #152 1st Fl</t>
  </si>
  <si>
    <t>https://www.google.com/maps/place/Golden+Hills+Professional+Center,+Bldg+2680,+%23152+1st+Fl/@37.3296936,-121.7971493,17z/data=!3m1!4b1!4m6!3m5!1s0x808e2d42c23be047:0xda8ffc1342832e9a!8m2!3d37.3296936!4d-121.7971493!16s%2Fg%2F11h_0nsp7d?authuser=0&amp;hl=en&amp;entry=ttu&amp;g_ep=EgoyMDI2MDYyOS4wIKXMDSoASAFQAw%3D%3D</t>
  </si>
  <si>
    <t xml:space="preserve">Physiotherapist </t>
  </si>
  <si>
    <t>Sterling Physical Therapy</t>
  </si>
  <si>
    <t>https://www.google.com/maps/place/Sterling+Physical+Therapy/@37.364656,-121.848104,17z/data=!3m1!4b1!4m6!3m5!1s0x808fcd044dbd827b:0x87b47eb5b6b006cb!8m2!3d37.364656!4d-121.848104!16s%2Fg%2F1ptwktn63?authuser=0&amp;hl=en&amp;entry=ttu&amp;g_ep=EgoyMDI2MDYyOS4wIKXMDSoASAFQAw%3D%3D</t>
  </si>
  <si>
    <t>Prime Physical Therapy</t>
  </si>
  <si>
    <t>https://www.google.com/maps/place/Prime+Physical+Therapy/@37.2479969,-121.846542,17z/data=!3m1!4b1!4m6!3m5!1s0x808e31037811dbe5:0xf310fd3d0ed0844!8m2!3d37.2479969!4d-121.846542!16s%2Fg%2F11yyjp0kwj?authuser=0&amp;hl=en&amp;entry=ttu&amp;g_ep=EgoyMDI2MDYyOS4wIKXMDSoASAFQAw%3D%3D</t>
  </si>
  <si>
    <t>San Jose Physical Therapy Jackson Street</t>
  </si>
  <si>
    <t>https://www.google.com/maps/search/San+Jose+Physical+Therapy+Jackson+Street/@37.3606591,-121.8470138,17z?authuser=0&amp;hl=en&amp;entry=ttu&amp;g_ep=EgoyMDI2MDYyOS4wIKXMDSoASAFQAw%3D%3D</t>
  </si>
  <si>
    <t>Pacific Rim Rehab</t>
  </si>
  <si>
    <t>https://www.google.com/maps/place/Pacific+Rim+Rehab/@37.3425192,-121.8762736,17z/data=!3m1!4b1!4m6!3m5!1s0x808fcc10944a4b27:0xb5583f82cfcfa07f!8m2!3d37.3425192!4d-121.8762736!16s%2Fg%2F1tfp2prg?authuser=0&amp;hl=en&amp;entry=ttu&amp;g_ep=EgoyMDI2MDYyOS4wIKXMDSoASAFQAw%3D%3D</t>
  </si>
  <si>
    <t>Kavya Physiotherapy Centre Bhiwani</t>
  </si>
  <si>
    <t>https://www.google.com/maps/place/Kavya+Physiotherapy+Centre+Bhiwani/@28.8046291,76.1575962,17z/data=!3m1!4b1!4m6!3m5!1s0x391267c215a50eb5:0x440cfa2ff69f20aa!8m2!3d28.8046291!4d76.1575962!16s%2Fg%2F11w8rb_lqm?authuser=0&amp;hl=en&amp;entry=ttu&amp;g_ep=EgoyMDI2MDcwNS4wIKXMDSoASAFQAw%3D%3D</t>
  </si>
  <si>
    <t xml:space="preserve">Physiotherapy Center </t>
  </si>
  <si>
    <t>Elite Physiotherapy and Rehabilitation</t>
  </si>
  <si>
    <t>https://www.google.com/maps/place/Elite+Physiotherapy+and+Rehabilitation/@28.8163189,76.1441869,17z/data=!3m1!4b1!4m6!3m5!1s0x39126771112238a5:0x136281fe88b6b682!8m2!3d28.8163189!4d76.1441869!16s%2Fg%2F11ymjlh84s?authuser=0&amp;hl=en&amp;entry=ttu&amp;g_ep=EgoyMDI2MDcwNS4wIKXMDSoASAFQAw%3D%3D</t>
  </si>
  <si>
    <t>Medical Center</t>
  </si>
  <si>
    <t>Inner Wellness Physiotherapy (Dr Garima MPT Neuro)</t>
  </si>
  <si>
    <t>https://www.google.com/maps/place/Inner+Wellness+Physiotherapy+(Dr+Garima+MPT+Neuro)/@28.7949201,76.1314302,17z/data=!3m1!4b1!4m6!3m5!1s0x391267b073d94065:0x990368078643d354!8m2!3d28.7949201!4d76.1314302!16s%2Fg%2F11vzkqff4h?authuser=0&amp;hl=en&amp;entry=ttu&amp;g_ep=EgoyMDI2MDcwNS4wIKXMDSoASAFQAw%3D%3D</t>
  </si>
  <si>
    <t>AS Physiotherapy &amp; Rehabilitation Center</t>
  </si>
  <si>
    <t>https://www.google.com/maps/place/AS+Physiotherapy+%26+Rehabilitation+Center/@28.7988524,76.1432952,17z/data=!3m1!4b1!4m6!3m5!1s0x391267954c5e6acb:0x1ae41216b1700d1c!8m2!3d28.7988524!4d76.1432952!16s%2Fg%2F11lk9pm6nb?authuser=0&amp;hl=en&amp;entry=ttu&amp;g_ep=EgoyMDI2MDcwNS4wIKXMDSoASAFQAw%3D%3D</t>
  </si>
  <si>
    <t>PhysioKalp Physiotherapy Centre</t>
  </si>
  <si>
    <t>https://www.google.com/maps/place/PhysioKalp+Physiotherapy+Centre/@28.7958537,76.1310395,17z/data=!3m1!4b1!4m6!3m5!1s0x39126755b799c9b9:0x95dcc84441a110b2!8m2!3d28.7958537!4d76.1310395!16s%2Fg%2F11vt0vhdkr?authuser=0&amp;hl=en&amp;entry=ttu&amp;g_ep=EgoyMDI2MDcwNS4wIKXMDSoASAFQAw%3D%3D</t>
  </si>
  <si>
    <t>Krishna's Physiotherapy &amp; Holistic Centre – Chiropractic &amp; Pain Relief Clinic, Bhiwani</t>
  </si>
  <si>
    <t>https://www.google.com/maps/place/Krishna's+Physiotherapy+%26+Holistic+Centre+%E2%80%93+Chiropractic+%26+Pain+Relief+Clinic,+Bhiwani/@28.8038172,76.1482319,17z/data=!3m1!4b1!4m6!3m5!1s0x3912e3da93b8ee1f:0xadec546d88c8a60c!8m2!3d28.8038172!4d76.1482319!16s%2Fg%2F11px8v4npx?authuser=0&amp;hl=en&amp;entry=ttu&amp;g_ep=EgoyMDI2MDcwNS4wIKXMDSoASAFQAw%3D%3D</t>
  </si>
  <si>
    <t>Deep Physiotherapy Clinic And Fitness Centre</t>
  </si>
  <si>
    <t>https://www.google.com/maps/place/Deep+Physiotherapy+Clinic+And+Fitness+Centre/@28.7926296,76.1571773,17z/data=!3m1!4b1!4m6!3m5!1s0x3912677d79352aed:0xe5937cfe747495a1!8m2!3d28.7926296!4d76.1571773!16s%2Fg%2F11y1m16kkb?authuser=0&amp;hl=en&amp;entry=ttu&amp;g_ep=EgoyMDI2MDcwNS4wIKXMDSoASAFQAw%3D%3D</t>
  </si>
  <si>
    <t>Fitness Center</t>
  </si>
  <si>
    <t>Sukoon Physio n Wellness Clinic</t>
  </si>
  <si>
    <t>https://www.google.com/maps/place/Sukoon+Physio+n+Wellness+Clinic/@28.7923247,76.1418002,17z/data=!3m1!4b1!4m6!3m5!1s0x391267a22449732b:0x71666a68a0dead83!8m2!3d28.7923247!4d76.1418002!16s%2Fg%2F11pkmdn99z?authuser=0&amp;hl=en&amp;entry=ttu&amp;g_ep=EgoyMDI2MDcwNS4wIKXMDSoASAFQAw%3D%3D</t>
  </si>
  <si>
    <t>Ayushman Physiotherapy Centre</t>
  </si>
  <si>
    <t>https://www.google.com/maps/place/Ayushman+Physiotherapy+Centre/@28.7986094,76.1308108,16z/data=!3m1!4b1!4m6!3m5!1s0x391267283696463f:0x15f17b84e9af4bed!8m2!3d28.7986094!4d76.1308108!16s%2Fg%2F11clwfcb3v?authuser=0&amp;hl=en&amp;entry=ttu&amp;g_ep=EgoyMDI2MDcwNS4wIKXMDSoASAFQAw%3D%3D</t>
  </si>
  <si>
    <t>Ansh Hospital</t>
  </si>
  <si>
    <t>https://www.google.com/maps/place/Ansh+Hospital/@28.7900727,76.1451586,17z/data=!3m1!4b1!4m6!3m5!1s0x39126132c733e193:0x1e1c3f533885611b!8m2!3d28.7900727!4d76.1451586!16s%2Fg%2F11g8d519jd?authuser=0&amp;hl=en&amp;entry=ttu&amp;g_ep=EgoyMDI2MDcwNS4wIKXMDSoASAFQAw%3D%3D</t>
  </si>
  <si>
    <t>VSP THERAPY CENTER</t>
  </si>
  <si>
    <t>https://www.google.com/maps/place/VSP+THERAPY+CENTER/@28.8085388,76.1132411,17z/data=!3m1!4b1!4m6!3m5!1s0x391267d6a4f9a50b:0xae678a614f17f671!8m2!3d28.8085388!4d76.1132411!16s%2Fg%2F11wn_ccrjy?authuser=0&amp;hl=en&amp;entry=ttu&amp;g_ep=EgoyMDI2MDcwNS4wIKXMDSoASAFQAw%3D%3D</t>
  </si>
  <si>
    <t>Physiotherapy &amp; Chiropractic centre</t>
  </si>
  <si>
    <t>https://www.google.com/maps/place/Physiotherapy+%26+Chiropractic+centre/@28.8084893,76.1133115,17z/data=!3m1!4b1!4m6!3m5!1s0x3912676ef5f7356b:0xee7e5961434e5084!8m2!3d28.8084893!4d76.1133115!16s%2Fg%2F11w1d6bzp6?authuser=0&amp;hl=en&amp;entry=ttu&amp;g_ep=EgoyMDI2MDcwNS4wIKXMDSoASAFQAw%3D%3D</t>
  </si>
  <si>
    <t>Dr relax physiotherapy clinic &amp;blood lab</t>
  </si>
  <si>
    <t>https://www.google.com/maps/place/Dr+relax+physiotherapy+clinic+%26blood+lab/@28.8045378,76.1304521,17z/data=!3m1!4b1!4m6!3m5!1s0x391267dd4c701fb5:0x9e74e984b0a38db2!8m2!3d28.8045378!4d76.1304521!16s%2Fg%2F11q3_mgnqm?authuser=0&amp;hl=en&amp;entry=ttu&amp;g_ep=EgoyMDI2MDcwNS4wIKXMDSoASAFQAw%3D%3D</t>
  </si>
  <si>
    <t>Medical laboratory</t>
  </si>
  <si>
    <t>Asha Healthcare &amp; Ayurvedic Centre</t>
  </si>
  <si>
    <t>https://www.google.com/maps/place/Asha+Healthcare+%26+Ayurvedic+Centre/@28.7797542,76.1451547,17z/data=!3m1!4b1!4m6!3m5!1s0x39126100334eb0ef:0x67a2830213876f16!8m2!3d28.7797542!4d76.1451547!16s%2Fg%2F11vyb9f6sw?authuser=0&amp;hl=en&amp;entry=ttu&amp;g_ep=EgoyMDI2MDcwNS4wIKXMDSoASAFQAw%3D%3D</t>
  </si>
  <si>
    <t>Healthy Vibes Physiotherapy</t>
  </si>
  <si>
    <t>https://www.google.com/maps/place/Healthy+Vibes+Physiotherapy/@28.8663501,75.9256611,17z/data=!3m1!4b1!4m6!3m5!1s0x39124583411e66bd:0xfbcf632d0444675c!8m2!3d28.8663501!4d75.9256611!16s%2Fg%2F11r_nc2ykg?authuser=0&amp;hl=en&amp;entry=ttu&amp;g_ep=EgoyMDI2MDcwNS4wIKXMDSoASAFQAw%3D%3D</t>
  </si>
  <si>
    <t>Medhealth natural</t>
  </si>
  <si>
    <t>https://www.google.com/maps/place/Medhealth+natural/@28.7861709,76.1568069,17z/data=!3m1!4b1!4m6!3m5!1s0x391261498cf52197:0x5cf29e1b90cbe394!8m2!3d28.7861709!4d76.1568069!16s%2Fg%2F11w9nhrdr_?authuser=0&amp;hl=en&amp;entry=ttu&amp;g_ep=EgoyMDI2MDcwNS4wIKXMDSoASAFQAw%3D%3D</t>
  </si>
  <si>
    <t>Parteek phototherapy centre</t>
  </si>
  <si>
    <t>https://www.google.com/maps/place/Parteek+phototherapy+centre/@28.7863721,76.1567751,17z/data=!3m1!4b1!4m6!3m5!1s0x391266cdb1a7ed77:0x92152c10d64ebe76!8m2!3d28.7863721!4d76.1567751!16s%2Fg%2F11f5hsxpb6?authuser=0&amp;hl=en&amp;entry=ttu&amp;g_ep=EgoyMDI2MDcwNS4wIKXMDSoASAFQAw%3D%3D</t>
  </si>
  <si>
    <t>Amar Physiotherapist</t>
  </si>
  <si>
    <t>https://www.google.com/maps/place/Amar+Physiotherapist/@28.7996553,76.1435218,17z/data=!3m1!4b1!4m6!3m5!1s0x391266d02a8de467:0x747be62ac10700a7!8m2!3d28.7996553!4d76.1435218!16s%2Fg%2F11f0_ftvrm?authuser=0&amp;hl=en&amp;entry=ttu&amp;g_ep=EgoyMDI2MDcwNS4wIKXMDSoASAFQAw%3D%3D</t>
  </si>
  <si>
    <t>HIMANSHU PHYSIOTHERAPY CENTRE , KAIRU, BHIWANI</t>
  </si>
  <si>
    <t>https://www.google.com/maps/place/HIMANSHU+PHYSIOTHERAPY+CENTRE+,+KAIRU,+BHIWANI/@28.7827769,75.9852561,17z/data=!3m1!4b1!4m6!3m5!1s0x39125b5137b7e563:0x69859232bd050d05!8m2!3d28.7827769!4d75.9852561!16s%2Fg%2F11pz19w6y8?authuser=0&amp;hl=en&amp;entry=ttu&amp;g_ep=EgoyMDI2MDcwNS4wIKXMDSoASAFQAw%3D%3D</t>
  </si>
  <si>
    <t>MATRIX HOSPITAL &amp; RESEARCH CENTRE ( BHIWANI ) - 127021</t>
  </si>
  <si>
    <t>https://www.google.com/maps/place/MATRIX+HOSPITAL+%26+RESEARCH+CENTRE+(+BHIWANI+)+-+127021/@28.7999347,76.14209,17z/data=!3m1!4b1!4m6!3m5!1s0x391267005da948d5:0xf86d8600003f47e0!8m2!3d28.7999347!4d76.14209!16s%2Fg%2F11w8dswwm0?authuser=0&amp;hl=en&amp;entry=ttu&amp;g_ep=EgoyMDI2MDcwNS4wIKXMDSoASAFQAw%3D%3D</t>
  </si>
  <si>
    <t>Spine Care Bhiwani - Best therapy in Bhiwani</t>
  </si>
  <si>
    <t>https://www.google.com/maps/place/Spine+Care+Bhiwani+-+Best+therapy+in+Bhiwani/@28.7769849,76.1584201,17z/data=!3m1!4b1!4m6!3m5!1s0x391261fa42a56207:0x8b655651beeb662d!8m2!3d28.7769849!4d76.1584201!16s%2Fg%2F11vc7r8cy_?authuser=0&amp;hl=en&amp;entry=ttu&amp;g_ep=EgoyMDI2MDcwNS4wIKXMDSoASAFQAw%3D%3D</t>
  </si>
  <si>
    <t>Best Chiropractor in hisar | Dr Nakul Vats Chiropractor</t>
  </si>
  <si>
    <t>https://www.google.com/maps/place/Best+Chiropractor+in+hisar+%7C+Dr+Nakul+Vats+Chiropractor/@29.156191,75.7555389,12z/data=!3m1!4b1!4m6!3m5!1s0x39123355bc20098f:0x13a5fe0f153168e6!8m2!3d29.156191!4d75.7555389!16s%2Fg%2F11w93y8nc6?authuser=0&amp;hl=en&amp;entry=ttu&amp;g_ep=EgoyMDI2MDcwNS4wIKXMDSoASAFQAw%3D%3D</t>
  </si>
  <si>
    <t>Jangra Multispeciality Hospital - Ayushman/Trauma/Gynaecologist/ESI/ECHS/HARYANA GOVT. TPA Best Hospital in Bhiwani</t>
  </si>
  <si>
    <t>https://www.google.com/maps/place/Jangra+Multispeciality+Hospital+-+Ayushman%2FTrauma%2FGynaecologist%2FESI%2FECHS%2FHARYANA+GOVT.+TPA+Best+Hospital+in+Bhiwani/@28.7956073,76.1571257,17z/data=!3m1!4b1!4m6!3m5!1s0x39126734d2b55091:0x16fe8f39d066af42!8m2!3d28.7956073!4d76.1571257!16s%2Fg%2F11g0tsm70b?authuser=0&amp;hl=en&amp;entry=ttu&amp;g_ep=EgoyMDI2MDcwNS4wIKXMDSoASAFQAw%3D%3D</t>
  </si>
  <si>
    <t>Gynecologist</t>
  </si>
  <si>
    <t>Bhardwaj Child &amp; Maternity Hospital</t>
  </si>
  <si>
    <t>https://www.google.com/maps/place/Bhardwaj+Child+%26+Maternity+Hospital/@28.8005657,76.1418023,17z/data=!3m1!4b1!4m6!3m5!1s0x391266d0417f2359:0xf8b2fda7c93d7311!8m2!3d28.8005657!4d76.1418023!16s%2Fg%2F119tdyq2y?authuser=0&amp;hl=en&amp;entry=ttu&amp;g_ep=EgoyMDI2MDcwNS4wIKXMDSoASAFQAw%3D%3D</t>
  </si>
  <si>
    <t>Deswal Super Speciality Dental Hospital &amp; Implant Centre</t>
  </si>
  <si>
    <t>https://www.google.com/maps/place/Deswal+Super+Speciality+Dental+Hospital+%26+Implant+Centre/@28.8005141,76.1420198,17z/data=!3m1!4b1!4m6!3m5!1s0x391266d040e9a1db:0x8cac97e9355f3832!8m2!3d28.8005141!4d76.1420198!16s%2Fg%2F124ygcf1z?authuser=0&amp;hl=en&amp;entry=ttu&amp;g_ep=EgoyMDI2MDcwNS4wIKXMDSoASAFQAw%3D%3D</t>
  </si>
  <si>
    <t>Radiologist</t>
  </si>
  <si>
    <t>Ability Outpatient Physical Therapy Clinic</t>
  </si>
  <si>
    <t>https://www.google.com/maps/place/Ability+Outpatient+Physical+Therapy+Clinic/@37.3301759,-121.7974478,17z/data=!3m1!4b1!4m6!3m5!1s0x808e2d882544d323:0xa33ca639137df6b5!8m2!3d37.3301759!4d-121.7974478!16s%2Fg%2F11fd3qxtk2?authuser=0&amp;hl=en&amp;entry=ttu&amp;g_ep=EgoyMDI2MDcwNS4wIKXMDSoASAFQAw%3D%3D</t>
  </si>
  <si>
    <t>Pacific Therapy &amp; Rehab Inc</t>
  </si>
  <si>
    <t>https://www.google.com/maps/place/Pacific+Therapy+%26+Rehab+Inc/@37.3426177,-121.8763528,17z/data=!3m1!4b1!4m6!3m5!1s0x808fccc03285b021:0x40dd6f9c3dc92920!8m2!3d37.3426177!4d-121.8763528!16s%2Fg%2F1tjl648f?authuser=0&amp;hl=en&amp;entry=ttu&amp;g_ep=EgoyMDI2MDcwNS4wIKXMDSoASAFQAw%3D%3D</t>
  </si>
  <si>
    <t>Kinemax Physical Therapy</t>
  </si>
  <si>
    <t>https://www.google.com/maps/place/Kinemax+Physical+Therapy/@37.3004915,-121.9446305,10z/data=!3m1!4b1!4m6!3m5!1s0x808fb5d1b7483b55:0x4a9bf1ab7db44678!8m2!3d37.3004915!4d-121.9446305!16s%2Fg%2F11mp82y5c5?authuser=0&amp;hl=en&amp;entry=ttu&amp;g_ep=EgoyMDI2MDcwNS4wIKXMDSoASAFQAw%3D%3D</t>
  </si>
  <si>
    <t>San Jose Eye Care</t>
  </si>
  <si>
    <t>https://www.google.com/maps/place/San+Jose+Eye+Care/@37.3654364,-121.851604,17z/data=!3m1!4b1!4m6!3m5!1s0x808fcd015baa3d95:0xb70ed7bacd696ada!8m2!3d37.3654364!4d-121.851604!16s%2Fg%2F1v7tlmcd?authuser=0&amp;hl=en&amp;entry=ttu&amp;g_ep=EgoyMDI2MDcwNS4wIKXMDSoASAFQAw%3D%3D</t>
  </si>
  <si>
    <t>Optometrist</t>
  </si>
  <si>
    <t>Family Vision Optometry</t>
  </si>
  <si>
    <t>https://www.google.com/maps/place/Family+Vision+Optometry/@37.2503331,-121.8423286,17z/data=!3m1!4b1!4m6!3m5!1s0x808e318f037f4dc3:0x4bee52a9435510dd!8m2!3d37.2503331!4d-121.8423286!16s%2Fg%2F1th87c00?authuser=0&amp;hl=en&amp;entry=ttu&amp;g_ep=EgoyMDI2MDcwNS4wIKXMDSoASAFQAw%3D%3D</t>
  </si>
  <si>
    <t>AYURVEDA WELLNESS CENTER</t>
  </si>
  <si>
    <t>https://www.google.com/maps/place/AYURVEDA+WELLNESS+CENTER/@25.833497,72.2592113,17z/data=!3m1!4b1!4m6!3m5!1s0x3943e916cb56dd95:0x7e03690a88ddc78b!8m2!3d25.833497!4d72.2592113!16s%2Fg%2F11vyg2vfq6?authuser=0&amp;hl=en&amp;entry=ttu&amp;g_ep=EgoyMDI2MDcwNi4wIKXMDSoASAFQAw%3D%3D</t>
  </si>
  <si>
    <t>Wellness and nutrition center with zumba class</t>
  </si>
  <si>
    <t>https://www.google.com/maps/place/Wellness+and+nutrition+center+with+zumba+class/@25.8345936,72.2313566,17z/data=!3m1!4b1!4m6!3m5!1s0x3943ef001e7b82e1:0x984e563e5ca50162!8m2!3d25.8345936!4d72.2313566!16s%2Fg%2F11z2xrch7j?authuser=0&amp;hl=en&amp;entry=ttu&amp;g_ep=EgoyMDI2MDcwNi4wIKXMDSoASAFQAw%3D%3D</t>
  </si>
  <si>
    <t>Weight Loss Service</t>
  </si>
  <si>
    <t>Dr. Nature Ayurvedic Wellness Centre</t>
  </si>
  <si>
    <t>https://www.google.com/maps/place/Dr.+Nature+Ayurvedic+Wellness+Centre/@25.8334398,72.2401366,17z/data=!3m1!4b1!4m6!3m5!1s0x3943e9fa1dee447d:0x4235eb059a3463cc!8m2!3d25.8334398!4d72.2401366!16s%2Fg%2F11yt2r19bs?authuser=0&amp;hl=en&amp;entry=ttu&amp;g_ep=EgoyMDI2MDcwNi4wIKXMDSoASAFQAw%3D%3D</t>
  </si>
  <si>
    <t>Pharmacy</t>
  </si>
  <si>
    <t>Moral Fitness Centre</t>
  </si>
  <si>
    <t>https://www.google.com/maps/place/Moral+Fitness+Centre/@25.8287787,72.2517826,17z/data=!3m1!4b1!4m6!3m5!1s0x3943e9ab7ff42e23:0x75e407767c1e5a9c!8m2!3d25.8287787!4d72.2517826!16s%2Fg%2F11q2y9mwsw?authuser=0&amp;hl=en&amp;entry=ttu&amp;g_ep=EgoyMDI2MDcwNi4wIKXMDSoASAFQAw%3D%3D</t>
  </si>
  <si>
    <t>Gym</t>
  </si>
  <si>
    <t>MAHARISHI PATANJALI AROGYAM</t>
  </si>
  <si>
    <t>https://www.google.com/maps/place/MAHARISHI+PATANJALI+AROGYAM/@25.8276499,72.2455506,17z/data=!3m1!4b1!4m6!3m5!1s0x39418b6bcab202c9:0x319106fa0a08ee53!8m2!3d25.8276499!4d72.2455506!16s%2Fg%2F11x62867mx?authuser=0&amp;hl=en&amp;entry=ttu&amp;g_ep=EgoyMDI2MDcwNi4wIKXMDSoASAFQAw%3D%3D</t>
  </si>
  <si>
    <t>Ayurvedic Clinic</t>
  </si>
  <si>
    <t>Maharishi Patanjali Arogyam</t>
  </si>
  <si>
    <t>https://www.google.com/maps/place/Maharishi+Patanjali+Arogyam/@25.8275289,72.246267,17z/data=!3m1!4b1!4m6!3m5!1s0x3943e905e32fe559:0xd89a923d06e76ace!8m2!3d25.8275289!4d72.246267!16s%2Fg%2F11x8d_98ph?authuser=0&amp;hl=en&amp;entry=ttu&amp;g_ep=EgoyMDI2MDcwNi4wIKXMDSoASAFQAw%3D%3D</t>
  </si>
  <si>
    <t>Nursing officer Rajsa Goyal</t>
  </si>
  <si>
    <t>https://www.google.com/maps/place/Nursing+officer+Rajsa+Goyal/@25.8283626,72.2705566,17z/data=!3m1!4b1!4m6!3m5!1s0x39418b5b3384caa7:0xd22c6cfd02b3bd5d!8m2!3d25.8283626!4d72.2705566!16s%2Fg%2F11rxrk1qv7?authuser=0&amp;hl=en&amp;entry=ttu&amp;g_ep=EgoyMDI2MDcwNi4wIKXMDSoASAFQAw%3D%3D</t>
  </si>
  <si>
    <t>Anaya mattress and finishing</t>
  </si>
  <si>
    <t>https://www.google.com/maps/place/Anaya+mattress+and+finishing/@25.8340168,72.2274767,17z/data=!3m1!4b1!4m6!3m5!1s0x3943efde262d23ed:0xefcdad75a46f0809!8m2!3d25.8340168!4d72.2274767!16s%2Fg%2F11xs4wj_gd?authuser=0&amp;hl=en&amp;entry=ttu&amp;g_ep=EgoyMDI2MDcwNi4wIKXMDSoASAFQAw%3D%3D</t>
  </si>
  <si>
    <t>Home health care service</t>
  </si>
  <si>
    <t>Dr Sandeep bishnoi MBBS MS Orthopaedic</t>
  </si>
  <si>
    <t>https://www.google.com/maps/place/Dr+Sandeep+bishnoi+MBBS+MS+Orthopaedic/@25.8318987,72.2430227,17z/data=!3m1!4b1!4m6!3m5!1s0x3943e9133f22c707:0x95b2c59636849389!8m2!3d25.8318987!4d72.2430227!16s%2Fg%2F11x193d6zv?authuser=0&amp;hl=en&amp;entry=ttu&amp;g_ep=EgoyMDI2MDcwNi4wIKXMDSoASAFQAw%3D%3D</t>
  </si>
  <si>
    <t>Dr Ashok patel MS ORTHOPAEDICS</t>
  </si>
  <si>
    <t>https://www.google.com/maps/place/Dr+Ashok+patel+MS+ORTHOPAEDICS+(%E0%A4%B9%E0%A4%A1%E0%A5%8D%E0%A4%A1%E0%A5%80+%E0%A4%8F%E0%A4%B5%E0%A4%82+%E0%A4%9C%E0%A5%8B%E0%A4%A1%E0%A4%BC+%E0%A4%B0%E0%A5%8B%E0%A4%97+%E0%A4%B5%E0%A4%BF%E0%A4%B6%E0%A5%87%E0%A4%B7%E0%A4%9C%E0%A5%8D%E0%A4%9E+)/@25.8304174,72.2613412,17z/data=!3m1!4b1!4m6!3m5!1s0x3943e937ad7152ab:0x5d62d1d5eac6803e!8m2!3d25.8304174!4d72.2613412!16s%2Fg%2F11ltr_t6k0?authuser=0&amp;hl=en&amp;entry=ttu&amp;g_ep=EgoyMDI2MDcwNi4wIKXMDSoASAFQAw%3D%3D</t>
  </si>
  <si>
    <t>Rajasthan Speech Therapy &amp; Audiology Clinic</t>
  </si>
  <si>
    <t>https://www.google.com/maps/place/Rajasthan+Speech+Therapy+%26+Audiology+Clinic/@26.2796892,73.0043087,17z/data=!3m1!4b1!4m6!3m5!1s0x39418c3cf6fe1a15:0x8baa2b85cc9ea2c0!8m2!3d26.2796892!4d73.0043087!16s%2Fg%2F11b6bhw10w?authuser=0&amp;hl=en&amp;entry=ttu&amp;g_ep=EgoyMDI2MDcwNi4wIKXMDSoASAFQAw%3D%3D</t>
  </si>
  <si>
    <t>Speech and Hearning Specialist</t>
  </si>
  <si>
    <t>Speech Rehab</t>
  </si>
  <si>
    <t>https://www.google.com/maps/place/Speech+Rehab/@25.1727864,75.8716642,17z/data=!3m1!4b1!4m6!3m5!1s0x396f9be60fe3e6e1:0xbe2e92d230a4a4cb!8m2!3d25.1727864!4d75.8716642!16s%2Fg%2F11kw10b_cm?authuser=0&amp;hl=en&amp;entry=ttu&amp;g_ep=EgoyMDI2MDcwNi4wIKXMDSoASAFQAw%3D%3D</t>
  </si>
  <si>
    <t>Speech Therapy &amp; aural language therapy centre</t>
  </si>
  <si>
    <t>https://www.google.com/maps/place/Speech+Therapy+%26+aural+language+therapy+centre/@25.3489,74.660907,17z/data=!3m1!4b1!4m6!3m5!1s0x3968c33c23183113:0xb2508cab4a4337cf!8m2!3d25.3489!4d74.660907!16s%2Fg%2F11vkj9brgn?authuser=0&amp;hl=en&amp;entry=ttu&amp;g_ep=EgoyMDI2MDcwNi4wIKXMDSoASAFQAw%3D%3D</t>
  </si>
  <si>
    <t>Sarswat Multispeciality Clinic &amp; Rehabilitation Centre</t>
  </si>
  <si>
    <t>https://www.google.com/maps/place/Sarswat+Multispeciality+Clinic+%26+Rehabilitation+Centre/@29.9211276,73.891131,17z/data=!3m1!4b1!4m6!3m5!1s0x3917b534e0a3b443:0xf37be3663057c62d!8m2!3d29.9211276!4d73.891131!16s%2Fg%2F11g1mhmfwl?authuser=0&amp;hl=en&amp;entry=ttu&amp;g_ep=EgoyMDI2MDcwNi4wIKXMDSoASAFQAw%3D%3D</t>
  </si>
  <si>
    <t>Speech Therapy Center</t>
  </si>
  <si>
    <t>https://www.google.com/maps/place/Speech+Therapy+Center/@27.9949571,73.3065434,17z/data=!3m1!4b1!4m6!3m5!1s0x393fe70f8f39d1fb:0x4ca3ebc1046a2641!8m2!3d27.9949571!4d73.3065434!16s%2Fg%2F11y9b8495v?authuser=0&amp;hl=en&amp;entry=ttu&amp;g_ep=EgoyMDI2MDcwNi4wIKXMDSoASAFQAw%3D%3D</t>
  </si>
  <si>
    <t>JAKHAR SPEECH THERAPY CENTRE NAGAUR</t>
  </si>
  <si>
    <t>https://www.google.com/maps/place/JAKHAR+SPEECH+THERAPY+CENTRE+NAGAUR/@27.1904314,73.7333544,17z/data=!3m1!4b1!4m6!3m5!1s0x396a915ee11bb0ff:0xb602cb4de1302fe4!8m2!3d27.1904314!4d73.7333544!16s%2Fg%2F11w7k2r2yp?authuser=0&amp;hl=en&amp;entry=ttu&amp;g_ep=EgoyMDI2MDcwNi4wIKXMDSoASAFQAw%3D%3D</t>
  </si>
  <si>
    <t>Rajasthan Speech Therapy &amp; Audiology Clinic (Unit-2)</t>
  </si>
  <si>
    <t>https://www.google.com/maps/place/Rajasthan+Speech+Therapy+%26+Audiology+Clinic+(Unit-2)/@26.2664937,73.0078438,17z/data=!3m1!4b1!4m6!3m5!1s0x39418d0fe35a696f:0x30aa164154c512f9!8m2!3d26.2664937!4d73.0078438!16s%2Fg%2F11h3qqbj8r?authuser=0&amp;hl=en&amp;entry=ttu&amp;g_ep=EgoyMDI2MDcwNi4wIKXMDSoASAFQAw%3D%3D</t>
  </si>
  <si>
    <t>MAHAVIR SONOGRAPHY CENTRE BALOTRA</t>
  </si>
  <si>
    <t>https://www.google.com/maps/place/MAHAVIR+SONOGRAPHY+CENTRE+BALOTRA/@25.8318882,72.2432125,17z/data=!3m1!4b1!4m6!3m5!1s0x3943e9048876f7e7:0xa807bd55781bef65!8m2!3d25.8318882!4d72.2432125!16s%2Fg%2F11vjtwspqr?authuser=0&amp;hl=en&amp;entry=ttu&amp;g_ep=EgoyMDI2MDcwNi4wIKXMDSoASAFQAw%3D%3D</t>
  </si>
  <si>
    <t>Medical diagnostic imaging center</t>
  </si>
  <si>
    <t>Dhwani Speech therapy and Hearing centre</t>
  </si>
  <si>
    <t>https://www.google.com/maps/place/Dhwani+Speech+therapy+and+Hearing+centre/@25.1472044,73.0863964,17z/data=!3m1!4b1!4m6!3m5!1s0x3942ebbfc3148bf7:0xfd2f245da5eb4680!8m2!3d25.1472044!4d73.0863964!16s%2Fg%2F11w7_wq7wq?authuser=0&amp;hl=en&amp;entry=ttu&amp;g_ep=EgoyMDI2MDcwNi4wIKXMDSoASAFQAw%3D%3D</t>
  </si>
  <si>
    <t>Vidhyasharam Punarwas Centar Jasol</t>
  </si>
  <si>
    <t>https://www.google.com/maps/place/Vidhyasharam+Punarwas+Centar+Jasol/@25.8295219,72.2425051,17z/data=!3m1!4b1!4m6!3m5!1s0x3943e9ef8d311eed:0x291fe7fc8c0c1d61!8m2!3d25.8295219!4d72.2425051!16s%2Fg%2F11m5h9md_j?authuser=0&amp;hl=en&amp;entry=ttu&amp;g_ep=EgoyMDI2MDcwNi4wIKXMDSoASAFQAw%3D%3D</t>
  </si>
  <si>
    <t>Special Education School</t>
  </si>
  <si>
    <t>Nasha Mukti Kendra Jannat seva sansthan</t>
  </si>
  <si>
    <t>https://www.google.com/maps/place/Nasha+Mukti+Kendra+Jannat+seva+sansthan/@25.8365776,72.2600976,17z/data=!3m1!4b1!4m6!3m5!1s0x3943e96f7afa249b:0xdbc6d713dbd6778d!8m2!3d25.8365776!4d72.2600976!16s%2Fg%2F11vdqjdx5m?authuser=0&amp;hl=en&amp;entry=ttu&amp;g_ep=EgoyMDI2MDcwNi4wIKXMDSoASAFQAw%3D%3D</t>
  </si>
  <si>
    <t>Choudhary Health Care Balotra</t>
  </si>
  <si>
    <t>https://www.google.com/maps/place/Choudhary+Health+Care+Balotra/@25.8312314,72.244249,17z/data=!3m1!4b1!4m6!3m5!1s0x3943e94678c05c87:0xe62d1645b710e8d3!8m2!3d25.8312314!4d72.244249!16s%2Fg%2F11y4kvmnb7?authuser=0&amp;hl=en&amp;entry=ttu&amp;g_ep=EgoyMDI2MDcwNi4wIKXMDSoASAFQAw%3D%3D</t>
  </si>
  <si>
    <t>Ambulance Service</t>
  </si>
  <si>
    <t>Perfect Solution Coaching classes</t>
  </si>
  <si>
    <t>https://www.google.com/maps/place/Perfect+Solution+Coaching+classes/@25.8005582,72.2410874,17z/data=!3m1!4b1!4m6!3m5!1s0x3943e938d24a26e1:0xe8c9162929475dba!8m2!3d25.8005582!4d72.2410874!16s%2Fg%2F11s4v46ph1?authuser=0&amp;hl=en&amp;entry=ttu&amp;g_ep=EgoyMDI2MDcwNi4wIKXMDSoASAFQAw%3D%3D</t>
  </si>
  <si>
    <t>Modern Star English Medium School</t>
  </si>
  <si>
    <t>https://www.google.com/maps/place/Modern+Star+English+Medium+School/@25.8356542,72.2420804,17z/data=!3m1!4b1!4m6!3m5!1s0x3943e8d1c007d7f1:0x250b40d4e6382a6e!8m2!3d25.8356542!4d72.2420804!16s%2Fg%2F11cp7hq9b8?authuser=0&amp;hl=en&amp;entry=ttu&amp;g_ep=EgoyMDI2MDcwNi4wIKXMDSoASAFQAw%3D%3D</t>
  </si>
  <si>
    <t>General Education School</t>
  </si>
  <si>
    <t>Bright Mind English Medium School</t>
  </si>
  <si>
    <t>https://www.google.com/maps/place/Bright+Mind+English+Medium+School+Balotra/@25.8471038,72.2412852,17z/data=!3m1!4b1!4m6!3m5!1s0x3943e8c9c28d0ee5:0xb512811d0e5161f!8m2!3d25.8471038!4d72.2438601!16s%2Fg%2F11dxb9pb_3?authuser=0&amp;hl=en&amp;entry=ttu&amp;g_ep=EgoyMDI2MDcwNi4wIKXMDSoASAFQAw%3D%3D</t>
  </si>
  <si>
    <t>Dignity Health Medical Group Nevada - North Las Vegas Clinic</t>
  </si>
  <si>
    <t>https://www.google.com/maps/place/Dignity+Health+Medical+Group+Nevada+-+North+Las+Vegas+Clinic/@36.2402274,-115.1626995,17z/data=!3m1!4b1!4m6!3m5!1s0x80c8e9e0470130e5:0xc98361c4b0a9911d!8m2!3d36.2402274!4d-115.1626995!16s%2Fg%2F11vpl95x7q?authuser=0&amp;hl=en&amp;entry=ttu&amp;g_ep=EgoyMDI2MDcwNi4wIKXMDSoASAFQAw%3D%3D</t>
  </si>
  <si>
    <t>Jaget David DC</t>
  </si>
  <si>
    <t>https://www.google.com/maps/place/Jaget+David+DC/@36.2041066,-115.1177146,17z/data=!3m1!4b1!4m6!3m5!1s0x80c8c2dd875f8c45:0x253c12b639cf947e!8m2!3d36.2041066!4d-115.1177146!16s%2Fg%2F12609bw1y?authuser=0&amp;hl=en&amp;entry=ttu&amp;g_ep=EgoyMDI2MDcwNi4wIKXMDSoASAFQAw%3D%3D</t>
  </si>
  <si>
    <t>Rehabiliation Center</t>
  </si>
  <si>
    <t>Peoplefirst Rehabilitation</t>
  </si>
  <si>
    <t>https://www.google.com/maps/place/Peoplefirst+Rehabilitation/@36.195005,-115.122845,17z/data=!3m1!4b1!4m6!3m5!1s0x80c8c31e1b608e7f:0xf1c253cf25d27b74!8m2!3d36.195005!4d-115.122845!16s%2Fg%2F1td9qt65?authuser=0&amp;hl=en&amp;entry=ttu&amp;g_ep=EgoyMDI2MDcwNi4wIKXMDSoASAFQAw%3D%3D</t>
  </si>
  <si>
    <t>Transitional Living Cmntys</t>
  </si>
  <si>
    <t>https://www.google.com/maps/place/Transitional+Living+Cmntys/@36.168192,-115.1336327,17z/data=!3m1!4b1!4m6!3m5!1s0x80c8c373c3eaf491:0x3295debc0f1b1583!8m2!3d36.168192!4d-115.1336327!16s%2Fg%2F1260bxlxt?authuser=0&amp;hl=en&amp;entry=ttu&amp;g_ep=EgoyMDI2MDcwNi4wIKXMDSoASAFQAw%3D%3D</t>
  </si>
  <si>
    <t>City Centre Pharmacy</t>
  </si>
  <si>
    <t>https://www.google.com/maps/place/City+Centre+Pharmacy/@36.2000564,-115.119871,17z/data=!3m1!4b1!4m6!3m5!1s0x80c8c2e0c367b029:0xf800285565794f24!8m2!3d36.2000564!4d-115.119871!16s%2Fg%2F11b6dspmds?authuser=0&amp;hl=en&amp;entry=ttu&amp;g_ep=EgoyMDI2MDcwNi4wIKXMDSoASAFQAw%3D%3D</t>
  </si>
  <si>
    <t>Divine Feet Preschool and Daycare anand</t>
  </si>
  <si>
    <t>https://www.google.com/maps/place/Divine+Feet+Preschool+and+Daycare+anand/@22.5447705,72.943614,17z/data=!3m1!4b1!4m6!3m5!1s0x395e4f64f3a99755:0x6fbd7e06e4ad908!8m2!3d22.5447705!4d72.943614!16s%2Fg%2F11f658t67b?authuser=0&amp;hl=en&amp;entry=ttu&amp;g_ep=EgoyMDI2MDcwNy4wIKXMDSoASAFQAw%3D%3D</t>
  </si>
  <si>
    <t>Preschool</t>
  </si>
  <si>
    <t>The Wonderkids Preschool &amp; Daycare - AV Road Anand</t>
  </si>
  <si>
    <t>https://www.google.com/maps/place/The+Wonderkids+Preschool+%26+Daycare+-+AV+Road+Anand/@22.5530078,72.9407723,17z/data=!3m1!4b1!4m6!3m5!1s0x395e4ff5f8d87b71:0x2ac73108d87eeed3!8m2!3d22.5530078!4d72.9407723!16s%2Fg%2F11j3xcbhb4?authuser=0&amp;hl=en&amp;entry=ttu&amp;g_ep=EgoyMDI2MDcwNy4wIKXMDSoASAFQAw%3D%3D</t>
  </si>
  <si>
    <t>Little Millennium Preschool - Anand</t>
  </si>
  <si>
    <t>https://www.google.com/maps/place/Little+Millennium+Preschool+-+Anand/@22.5398635,72.9522626,17z/data=!3m1!4b1!4m6!3m5!1s0x395e4d32a512145f:0x7b5f175b769c2d6d!8m2!3d22.5398635!4d72.9522626!16s%2Fg%2F11fs5mzdzw?authuser=0&amp;hl=en&amp;entry=ttu&amp;g_ep=EgoyMDI2MDcwNy4wIKXMDSoASAFQAw%3D%3D</t>
  </si>
  <si>
    <t>Little Hearts Play Home and Kindergarten</t>
  </si>
  <si>
    <t>https://www.google.com/maps/place/Little+Hearts+Play+Home+and+Kindergarten/@22.5594261,72.9505751,17z/data=!3m1!4b1!4m6!3m5!1s0x395e4e868cb81a03:0x7dc7e496e7ac81ae!8m2!3d22.5594261!4d72.9505751!16s%2Fg%2F11cm01zq7_?authuser=0&amp;hl=en&amp;entry=ttu&amp;g_ep=EgoyMDI2MDcwNy4wIKXMDSoASAFQAw%3D%3D</t>
  </si>
  <si>
    <t>THE SPECTRUM KIDS preschool</t>
  </si>
  <si>
    <t>https://www.google.com/maps/place/THE+SPECTRUM+KIDS+preschool/@22.5460496,72.9784547,17z/data=!3m1!4b1!4m6!3m5!1s0x395e4c1ba8ea2549:0x843bacd75b641b58!8m2!3d22.5460496!4d72.9784547!16s%2Fg%2F11g6vfvfgt?authuser=0&amp;hl=en&amp;entry=ttu&amp;g_ep=EgoyMDI2MDcwNy4wIKXMDSoASAFQAw%3D%3D</t>
  </si>
  <si>
    <t>Kindergarten School</t>
  </si>
  <si>
    <t>Eklavya Play School</t>
  </si>
  <si>
    <t>https://www.google.com/maps/place/Eklavya+Play+School/@22.5586298,72.9555586,17z/data=!3m1!4b1!4m6!3m5!1s0x395e4f44b03a4eed:0x86ae2704ddd1f4f6!8m2!3d22.5586298!4d72.9555586!16s%2Fg%2F11g0zr771f?authuser=0&amp;hl=en&amp;entry=ttu&amp;g_ep=EgoyMDI2MDcwNy4wIKXMDSoASAFQAw%3D%3D</t>
  </si>
  <si>
    <t>Kids World Anand</t>
  </si>
  <si>
    <t>https://www.google.com/maps/place/Kids+World+Anand/@22.5613135,72.9476737,17z/data=!3m1!4b1!4m6!3m5!1s0x395e4e87ed3c43ff:0xa3647591d653b7c!8m2!3d22.5613135!4d72.9476737!16s%2Fg%2F11b6clrfnb?authuser=0&amp;hl=en&amp;entry=ttu&amp;g_ep=EgoyMDI2MDcwNy4wIKXMDSoASAFQAw%3D%3D</t>
  </si>
  <si>
    <t>Child Care Agency</t>
  </si>
  <si>
    <t>NARAYAN NIKETAN SCHOOL (Juniors DEN) - ANAND</t>
  </si>
  <si>
    <t>https://www.google.com/maps/place/NARAYAN+NIKETAN+SCHOOL+(Juniors+DEN)+-+ANAND/@22.5523763,72.9290803,17z/data=!3m1!4b1!4m6!3m5!1s0x395e4e810faae905:0x7d60fec8fc5506d0!8m2!3d22.5523763!4d72.9290803!16s%2Fg%2F119w9g0rt?authuser=0&amp;hl=en&amp;entry=ttu&amp;g_ep=EgoyMDI2MDcwNy4wIKXMDSoASAFQAw%3D%3D</t>
  </si>
  <si>
    <t>Primary School</t>
  </si>
  <si>
    <t>Kids Wonder World - Pre-primary School With Drawing , Keyboard , Guitar And Abacus Classes</t>
  </si>
  <si>
    <t>https://www.google.com/maps/place/Kids+Wonder+World+-+Pre-primary+School+With+Drawing+,+Keyboard+,+Guitar+And+Abacus+Classes/@22.5709143,73.0024391,17z/data=!3m1!4b1!4m6!3m5!1s0x395e49f042e4814b:0x7c324a93d6e8388c!8m2!3d22.5709143!4d73.0024391!16s%2Fg%2F11j2k94nwq?authuser=0&amp;hl=en&amp;entry=ttu&amp;g_ep=EgoyMDI2MDcwNy4wIKXMDSoASAFQAw%3D%3D</t>
  </si>
  <si>
    <t>ANAND INTERNATIONAL SCHOOL-MOGAR[ANAND]</t>
  </si>
  <si>
    <t>https://www.google.com/maps/place/ANAND+INTERNATIONAL+SCHOOL-MOGAR%5BANAND%5D/@22.5274696,73.0078055,17z/data=!3m1!4b1!4m6!3m5!1s0x395e4b919c665989:0x17acf54e9be4bdd9!8m2!3d22.5274696!4d73.0078055!16s%2Fg%2F11c76qd81_?authuser=0&amp;hl=en&amp;entry=ttu&amp;g_ep=EgoyMDI2MDcwNy4wIKXMDSoASAFQAw%3D%3D</t>
  </si>
  <si>
    <t>Kids house Play group n nursery</t>
  </si>
  <si>
    <t>https://www.google.com/maps/place/Kids+house+Play+group+n+nursery/@22.4199224,72.7573245,17z/data=!3m1!4b1!4m6!3m5!1s0x395e4b5e8ccb43c5:0xc5ae9a2b164c5db6!8m2!3d22.4199224!4d72.7573245!16s%2Fg%2F11fwbt4z_2?authuser=0&amp;hl=en&amp;entry=ttu&amp;g_ep=EgoyMDI2MDcwNy4wIKXMDSoASAFQAw%3D%3D</t>
  </si>
  <si>
    <t>Divine Tuition Classes</t>
  </si>
  <si>
    <t>https://www.google.com/maps/place/Divine+Tuition+Classes/@22.5511329,72.9517012,17z/data=!3m1!4b1!4m6!3m5!1s0x395e4c2a0731b035:0x6c4df931d10756cc!8m2!3d22.5511329!4d72.9517012!16s%2Fg%2F11cmmx60c2?authuser=0&amp;hl=en&amp;entry=ttu&amp;g_ep=EgoyMDI2MDcwNy4wIKXMDSoASAFQAw%3D%3D</t>
  </si>
  <si>
    <t>Educational Institution</t>
  </si>
  <si>
    <t>R.K. Tuition Classes</t>
  </si>
  <si>
    <t>https://www.google.com/maps/place/R.K.+Tuition+Classes/@22.5448767,72.9101132,17z/data=!3m1!4b1!4m6!3m5!1s0x395e4f0c8844f9b7:0xcb46f84b8a503a47!8m2!3d22.5448767!4d72.9101132!16s%2Fg%2F11q83ss8z7?authuser=0&amp;hl=en&amp;entry=ttu&amp;g_ep=EgoyMDI2MDcwNy4wIKXMDSoASAFQAw%3D%3D</t>
  </si>
  <si>
    <t>NIRAV institute of mathematics &amp; science ( Best CBSE coaching institute in anand for class 8 to 12 , NCERT / IIT JEE / NEET</t>
  </si>
  <si>
    <t>https://www.google.com/maps/place/NIRAV+institute+of+mathematics+%26+science+(+Best+CBSE+coaching+institute+in+anand+for+class+8+to+12+,+NCERT+%2F+IIT+JEE+%2F+NEET/@22.5504879,72.934346,17z/data=!3m1!4b1!4m6!3m5!1s0x395e4fcdf000aac1:0x7f9425188ed538d4!8m2!3d22.5504879!4d72.934346!16s%2Fg%2F11sfr1svbx?authuser=0&amp;hl=en&amp;entry=ttu&amp;g_ep=EgoyMDI2MDcwNy4wIKXMDSoASAFQAw%3D%3D</t>
  </si>
  <si>
    <t>Vector Education -Tuition Classes VVNagar</t>
  </si>
  <si>
    <t>https://www.google.com/maps/place/Vector+Education+-Tuition+Classes+VVNagar/@22.5496456,72.9288146,17z/data=!3m1!4b1!4m6!3m5!1s0x395e4f6525929b69:0x375116a3c0391039!8m2!3d22.5496456!4d72.9288146!16s%2Fg%2F11gr5xzq6q?authuser=0&amp;hl=en&amp;entry=ttu&amp;g_ep=EgoyMDI2MDcwNy4wIKXMDSoASAFQAw%3D%3D</t>
  </si>
  <si>
    <t>Akshar Academy</t>
  </si>
  <si>
    <t>https://www.google.com/maps/place/Akshar+Academy/@22.553237,72.9433932,17z/data=!3m1!4b1!4m6!3m5!1s0x395e4f17788982ab:0xc99b5ca8a63d8069!8m2!3d22.553237!4d72.9433932!16s%2Fg%2F11g4fhx5r8?authuser=0&amp;hl=en&amp;entry=ttu&amp;g_ep=EgoyMDI2MDcwNy4wIKXMDSoASAFQAw%3D%3D</t>
  </si>
  <si>
    <t>Gurukul Academy</t>
  </si>
  <si>
    <t>https://www.google.com/maps/place/Gurukul+Academy/@22.5480522,72.9196924,17z/data=!3m1!4b1!4m6!3m5!1s0x395e4f2e2e16116f:0xc760f0618b0ab7f4!8m2!3d22.5480522!4d72.9196924!16s%2Fg%2F11mhffcx0q?authuser=0&amp;hl=en&amp;entry=ttu&amp;g_ep=EgoyMDI2MDcwNy4wIKXMDSoASAFQAw%3D%3D</t>
  </si>
  <si>
    <t>Bright Tuition Classes</t>
  </si>
  <si>
    <t>https://www.google.com/maps/place/Bright+Tuition+Classes/@22.5533595,72.9287905,17z/data=!3m1!4b1!4m6!3m5!1s0x395e4e76a3ce9da3:0x953414eeb5e49263!8m2!3d22.5533595!4d72.9287905!16s%2Fg%2F113gs4819?authuser=0&amp;hl=en&amp;entry=ttu&amp;g_ep=EgoyMDI2MDcwNy4wIKXMDSoASAFQAw%3D%3D</t>
  </si>
  <si>
    <t>Achievers Academy - Best Coaching Center in Anand | Best Tuition Classes in Anand | Tuition for Class 1 to 10th</t>
  </si>
  <si>
    <t>https://www.google.com/maps/place/Achievers+Academy+-+Best+Coaching+Center+in+Anand+%7C+Best+Tuition+Classes+in+Anand+%7C+Tuition+for+Class+1+to+10th/@22.5676068,72.9431571,17z/data=!3m1!4b1!4m6!3m5!1s0x395e4f29f519e76d:0x1b2558c115ee9353!8m2!3d22.5676068!4d72.9431571!16s%2Fg%2F11krh469nj?authuser=0&amp;hl=en&amp;entry=ttu&amp;g_ep=EgoyMDI2MDcwNy4wIKXMDSoASAFQAw%3D%3D</t>
  </si>
  <si>
    <t>MARUTI TUITION CLASSES</t>
  </si>
  <si>
    <t>https://www.google.com/maps/place/MARUTI+TUITION+CLASSES/@22.5560123,72.9502457,17z/data=!3m1!4b1!4m6!3m5!1s0x395e4f3a5951079b:0xf624ec0cc8f955ba!8m2!3d22.5560123!4d72.9502457!16s%2Fg%2F11xfh9986f?authuser=0&amp;hl=en&amp;entry=ttu&amp;g_ep=EgoyMDI2MDcwNy4wIKXMDSoASAFQAw%3D%3D</t>
  </si>
  <si>
    <t>Lakshya Tuition Classes</t>
  </si>
  <si>
    <t>https://www.google.com/maps/place/Lakshya+Tuition+Classes/@22.5683274,72.9524184,17z/data=!3m1!4b1!4m6!3m5!1s0x395e4f29e37a4541:0xb34909de40cca922!8m2!3d22.5683274!4d72.9524184!16s%2Fg%2F11lfzptq72?authuser=0&amp;hl=en&amp;entry=ttu&amp;g_ep=EgoyMDI2MDcwNy4wIKXMDSoASAFQAw%3D%3D</t>
  </si>
  <si>
    <t>ICE- Institute of Computer Education</t>
  </si>
  <si>
    <t>https://www.google.com/maps/place/ICE-+Institute+of+Computer+Education/@22.5573669,72.9546817,17z/data=!3m1!4b1!4m6!3m5!1s0x395e4e90e67cb619:0x7b6a55e1de912b9e!8m2!3d22.5573669!4d72.9546817!16s%2Fg%2F11c209c2lp?authuser=0&amp;hl=en&amp;entry=ttu&amp;g_ep=EgoyMDI2MDcwNy4wIKXMDSoASAFQAw%3D%3D</t>
  </si>
  <si>
    <t>Genius Tuition Classes</t>
  </si>
  <si>
    <t>https://www.google.com/maps/place/Genius+Tuition+Classes/@22.5552853,72.9389199,17z/data=!3m1!4b1!4m6!3m5!1s0x395e4f4e0d16f5f5:0xb6a162f791c11170!8m2!3d22.5552853!4d72.9389199!16s%2Fg%2F11ns59_cs4?authuser=0&amp;hl=en&amp;entry=ttu&amp;g_ep=EgoyMDI2MDcwNy4wIKXMDSoASAFQAw%3D%3D</t>
  </si>
  <si>
    <t>Spark Academy - Engineering Tuition Classes</t>
  </si>
  <si>
    <t>https://www.google.com/maps/place/Spark+Academy+-+Engineering+Tuition+Classes/@22.5574964,72.9270113,17z/data=!3m1!4b1!4m6!3m5!1s0x395e4e7235db5471:0x67a3fc430b94bf40!8m2!3d22.5574964!4d72.9270113!16s%2Fg%2F11f0_dpsnj?authuser=0&amp;hl=en&amp;entry=ttu&amp;g_ep=EgoyMDI2MDcwNy4wIKXMDSoASAFQAw%3D%3D</t>
  </si>
  <si>
    <t>Engineering School</t>
  </si>
  <si>
    <t>Tution class at Anand Gujarat</t>
  </si>
  <si>
    <t>https://www.google.com/maps/place/Tution+class+at+Anand+Gujarat/@22.5604045,72.9504613,17z/data=!3m1!4b1!4m6!3m5!1s0x395e4fbae8db4b6d:0xe6ef5afa93124b9e!8m2!3d22.5604045!4d72.9504613!16s%2Fg%2F11ydpnfzc6?authuser=0&amp;hl=en&amp;entry=ttu&amp;g_ep=EgoyMDI2MDcwNy4wIKXMDSoASAFQAw%3D%3D</t>
  </si>
  <si>
    <t>Student Union</t>
  </si>
  <si>
    <t>Orangegrove Rehabilitation Hospital</t>
  </si>
  <si>
    <t>https://www.google.com/maps/place/Orangegrove+Rehabilitation+Hospital/@33.773867,-117.9173377,17z/data=!3m1!4b1!4m6!3m5!1s0x80dcd80389e94533:0xde3c3e27e10b2cd9!8m2!3d33.773867!4d-117.9173377!16s%2Fg%2F1tdf1nd7?authuser=0&amp;hl=en&amp;entry=ttu&amp;g_ep=EgoyMDI2MDcwNy4wIKXMDSoASAFQAw%3D%3D</t>
  </si>
  <si>
    <t>Great Los Angeles Department of Rehabilitation</t>
  </si>
  <si>
    <t>https://www.google.com/maps/place/Great+Los+Angeles+Department+of+Rehabilitation/@34.0619462,-118.2957607,17z/data=!3m1!4b1!4m6!3m5!1s0x80c2c77c5a11bb8f:0x77a76b160ff26315!8m2!3d34.0619462!4d-118.2957607!16s%2Fg%2F11b5plc1w2?authuser=0&amp;hl=en&amp;entry=ttu&amp;g_ep=EgoyMDI2MDcwNy4wIKXMDSoASAFQAw%3D%3D</t>
  </si>
  <si>
    <t>Hallmark Rehabilitation</t>
  </si>
  <si>
    <t>https://www.google.com/maps/place/Hallmark+Rehabilitation/@33.8235471,-117.9659433,17z/data=!3m1!4b1!4m6!3m5!1s0x80dcd6297ef03417:0x4cd787b0239c4e2e!8m2!3d33.8235471!4d-117.9659433!16s%2Fg%2F1vq754l5?authuser=0&amp;hl=en&amp;entry=ttu&amp;g_ep=EgoyMDI2MDcwNy4wIKXMDSoASAFQAw%3D%3D</t>
  </si>
  <si>
    <t>The Abby Pavilion Healthcare Center of Anaheim</t>
  </si>
  <si>
    <t>https://www.google.com/maps/place/The+Abby+Pavilion+Healthcare+Center+of+Anaheim/@33.8178002,-118.0091842,17z/data=!3m1!4b1!4m6!3m5!1s0x80dd2937d714c37b:0x8aef8a2dfeeac3d!8m2!3d33.8178002!4d-118.0091842!16s%2Fg%2F11b6bwdnv3?authuser=0&amp;hl=en&amp;entry=ttu&amp;g_ep=EgoyMDI2MDcwNy4wIKXMDSoASAFQAw%3D%3D</t>
  </si>
  <si>
    <t>Advanced Rehabilitation</t>
  </si>
  <si>
    <t>https://www.google.com/maps/place/Advanced+Rehabilitation/@33.8832576,-117.9257971,17z/data=!3m1!4b1!4m6!3m5!1s0x80dd2a75918ae37d:0x8cdd201fb49b285d!8m2!3d33.8832576!4d-117.9257971!16s%2Fg%2F1yg4tsg2z?authuser=0&amp;hl=en&amp;entry=ttu&amp;g_ep=EgoyMDI2MDcwNy4wIKXMDSoASAFQAw%3D%3D</t>
  </si>
  <si>
    <t>Hisar speech &amp; Hearing Solutions/ Best hearing aid centre / Speech therapy/ Hearing test/ Kaan Ki Machine</t>
  </si>
  <si>
    <t>https://www.google.com/maps/place/Hisar+speech+%26+Hearing+Solutions%2F+Best+hearing+aid+centre+%2F+Speech+therapy%2F+Hearing+test%2F+Kaan+Ki+Machine/@28.8012088,76.1389397,17z/data=!3m1!4b1!4m6!3m5!1s0x391267b88e705c3f:0xc78bd5f16287a5e8!8m2!3d28.8012088!4d76.1389397!16s%2Fg%2F11t__q78lj?authuser=0&amp;hl=en&amp;entry=ttu&amp;g_ep=EgoyMDI2MDcwOC4wIKXMDSoASAFQAw%3D%3D</t>
  </si>
  <si>
    <t>Hearing Aid Store</t>
  </si>
  <si>
    <t>Bhardwaj Multispeciality Hospital</t>
  </si>
  <si>
    <t>https://www.google.com/maps/place/Bhardwaj+Multispeciality+Hospital/@28.7970129,76.1464504,17z/data=!3m1!4b1!4m6!3m5!1s0x391266c0f03fffff:0x1c77bfbe5ad9620a!8m2!3d28.7970129!4d76.1464504!16s%2Fg%2F11cnbm0d4j?authuser=0&amp;hl=en&amp;entry=ttu&amp;g_ep=EgoyMDI2MDcwOC4wIKXMDSoASAFQAw%3D%3D</t>
  </si>
  <si>
    <t>Dr Narinder Taneja Narinder Netralaya wale Bhiwani</t>
  </si>
  <si>
    <t>https://www.google.com/maps/place/Dr+Narinder+Taneja+Narinder+Netralaya+wale+Bhiwani/@28.8005989,76.1421567,17z/data=!3m1!4b1!4m6!3m5!1s0x391266d8f56cfaa5:0x5ac7a51f6e35fc1e!8m2!3d28.8005989!4d76.1421567!16s%2Fg%2F124t1rr3j?authuser=0&amp;hl=en&amp;entry=ttu&amp;g_ep=EgoyMDI2MDcwOC4wIKXMDSoASAFQAw%3D%3D</t>
  </si>
  <si>
    <t>Ophthalmologist</t>
  </si>
  <si>
    <t>SHANTI HOSPITAL - Best Eye Hospital in Bhiwani | Top Eye Hospital in Bhiwani</t>
  </si>
  <si>
    <t>https://www.google.com/maps/place/SHANTI+HOSPITAL+-+Best+Eye+Hospital+in+Bhiwani+%7C+Top+Eye+Hospital+in+Bhiwani/@28.7787727,76.1168377,17z/data=!3m1!4b1!4m6!3m5!1s0x391261d66041e287:0x447365fe00f10ff2!8m2!3d28.7787727!4d76.1168377!16s%2Fg%2F11p0_8zmfj?authuser=0&amp;hl=en&amp;entry=ttu&amp;g_ep=EgoyMDI2MDcwOC4wIKXMDSoASAFQAw%3D%3D</t>
  </si>
  <si>
    <t>Sarin Eye Hospital and Diagnostic Centre</t>
  </si>
  <si>
    <t>https://www.google.com/maps/place/Sarin+Eye+Hospital+and+Diagnostic+Centre/@28.798379,76.142678,17z/data=!3m1!4b1!4m6!3m5!1s0x391266d1dd376f41:0xa7763d6e0fde7ac8!8m2!3d28.798379!4d76.142678!16s%2Fg%2F1hf0_pmhk?authuser=0&amp;hl=en&amp;entry=ttu&amp;g_ep=EgoyMDI2MDcwOC4wIKXMDSoASAFQAw%3D%3D</t>
  </si>
  <si>
    <t>Doctor Sachin Tanwar</t>
  </si>
  <si>
    <t>https://www.google.com/maps/place/Doctor+Sachin+Tanwar/@28.7983169,76.1311288,17z/data=!3m1!4b1!4m6!3m5!1s0x3912679424778b0f:0x37b9a17be8c9c98a!8m2!3d28.7983169!4d76.1311288!16s%2Fg%2F11sw0d92kq?authuser=0&amp;hl=en&amp;entry=ttu&amp;g_ep=EgoyMDI2MDcwOC4wIKXMDSoASAFQAw%3D%3D</t>
  </si>
  <si>
    <t>Sunny Optical</t>
  </si>
  <si>
    <t>https://www.google.com/maps/place/Sunny+Optical/@28.8008772,76.1387934,17z/data=!3m1!4b1!4m6!3m5!1s0x391267630eb3b7df:0x5efb5ee6fe2b1f52!8m2!3d28.8008772!4d76.1387934!16s%2Fg%2F11fn4c28ys?authuser=0&amp;hl=en&amp;entry=ttu&amp;g_ep=EgoyMDI2MDcwOC4wIKXMDSoASAFQAw%3D%3D</t>
  </si>
  <si>
    <t>Store</t>
  </si>
  <si>
    <t>Delhi Optics - Best Sunglasses Shop/Sunglasses Shop/Top Sunglasses Shop/Best Watch Shop/Top Watch Shop</t>
  </si>
  <si>
    <t>https://www.google.com/maps/place/Delhi+Optics+-+Best+Sunglasses+Shop%2FSunglasses+Shop%2FTop+Sunglasses+Shop%2FBest+Watch+Shop%2FTop+Watch+Shop/@28.8009201,76.1404151,17z/data=!3m1!4b1!4m6!3m5!1s0x391266d0ad7d759d:0x7f0ac824e0836a35!8m2!3d28.8009201!4d76.1404151!16s%2Fg%2F11c709k001?authuser=0&amp;hl=en&amp;entry=ttu&amp;g_ep=EgoyMDI2MDcwOC4wIKXMDSoASAFQAw%3D%3D</t>
  </si>
  <si>
    <t>Shyam Optics</t>
  </si>
  <si>
    <t>https://www.google.com/maps/place/Shyam+Optics/@28.8006098,76.1411603,17z/data=!3m1!4b1!4m6!3m5!1s0x3912675fe914824f:0xb21f658b1d55be04!8m2!3d28.8006098!4d76.1411603!16s%2Fg%2F11s1wp1fhs?authuser=0&amp;hl=en&amp;entry=ttu&amp;g_ep=EgoyMDI2MDcwOC4wIKXMDSoASAFQAw%3D%3D</t>
  </si>
  <si>
    <t>Kaushik Hospital</t>
  </si>
  <si>
    <t>https://www.google.com/maps/place/Kaushik+Hospital/@28.786834,76.1454493,17z/data=!3m1!4b1!4m6!3m5!1s0x3912613238a57ef7:0xd4d0587588bb7c7e!8m2!3d28.786834!4d76.1454493!16s%2Fg%2F11f3qx173m?authuser=0&amp;hl=en&amp;entry=ttu&amp;g_ep=EgoyMDI2MDcwOC4wIKXMDSoASAFQAw%3D%3D</t>
  </si>
  <si>
    <t>NITESH GOYAL HEART AND POISON HOSPITAL</t>
  </si>
  <si>
    <t>https://www.google.com/maps/place/NITESH+GOYAL+HEART+AND+POISON+HOSPITAL/@28.7984697,76.1440612,17z/data=!3m1!4b1!4m6!3m5!1s0x391267a6b61d71b5:0xa7b46adbab6ffbf1!8m2!3d28.7984697!4d76.1440612!16s%2Fg%2F11fn4mzl3b?authuser=0&amp;hl=en&amp;entry=ttu&amp;g_ep=EgoyMDI2MDcwOC4wIKXMDSoASAFQAw%3D%3D</t>
  </si>
  <si>
    <t>Hear Hospital</t>
  </si>
  <si>
    <t>Gopaal Optical And Eyecare Centre Pvt Ltd</t>
  </si>
  <si>
    <t>https://www.google.com/maps/place/Gopaal+Optical+And+Eyecare+Centre+Pvt+Ltd/@28.8006234,76.1407419,17z/data=!3m1!4b1!4m6!3m5!1s0x391243b030bf7e1b:0x1c06b004cd6f3d6b!8m2!3d28.8006234!4d76.1407419!16s%2Fg%2F11qnvpf9p8?authuser=0&amp;hl=en&amp;entry=ttu&amp;g_ep=EgoyMDI2MDcwOC4wIKXMDSoASAFQAw%3D%3D</t>
  </si>
  <si>
    <t>Khurana Eye Hospital</t>
  </si>
  <si>
    <t>https://www.google.com/maps/place/Khurana+Eye+Hospital/@28.7856269,76.1231468,17z/data=!3m1!4b1!4m6!3m5!1s0x391260d254824cd7:0x3e18c68f22879228!8m2!3d28.7856269!4d76.1231468!16s%2Fg%2F12m8_tcgn?authuser=0&amp;hl=en&amp;entry=ttu&amp;g_ep=EgoyMDI2MDcwOC4wIKXMDSoASAFQAw%3D%3D</t>
  </si>
  <si>
    <t>Chhabra Optical</t>
  </si>
  <si>
    <t>https://www.google.com/maps/place/Chhabra+Optical/@28.7961789,76.1337212,17z/data=!3m1!4b1!4m6!3m5!1s0x391266d67233d0b7:0x30f0d72a127190c6!8m2!3d28.7961789!4d76.1337212!16s%2Fg%2F11cjkq26k0?authuser=0&amp;hl=en&amp;entry=ttu&amp;g_ep=EgoyMDI2MDcwOC4wIKXMDSoASAFQAw%3D%3D</t>
  </si>
  <si>
    <t>store</t>
  </si>
  <si>
    <t>The Seeker library</t>
  </si>
  <si>
    <t>https://www.google.com/maps/place/The+Seeker+library/@25.8370672,72.245944,17z/data=!3m1!4b1!4m6!3m5!1s0x3943e96bc548e5cd:0xb42f788a0ef98f3b!8m2!3d25.8370672!4d72.245944!16s%2Fg%2F11xzh2n3cw?authuser=0&amp;hl=en&amp;entry=ttu&amp;g_ep=EgoyMDI2MDcwOC4wIKXMDSoASAFQAw%3D%3D</t>
  </si>
  <si>
    <t>Dani Devi Memorial Eye Hospital</t>
  </si>
  <si>
    <t>https://www.google.com/maps/place/Dani+Devi+Memorial+Eye+Hospital/@29.4088291,76.0476794,17z/data=!3m1!4b1!4m6!3m5!1s0x39122101311bec53:0x55846c6495b9d70b!8m2!3d29.4088291!4d76.0476794!16s%2Fg%2F11h4qmzhwv?authuser=0&amp;hl=en&amp;entry=ttu&amp;g_ep=EgoyMDI2MDcwOC4wIKXMDSoASAFQAw%3D%3D</t>
  </si>
  <si>
    <t>Amit Opticals</t>
  </si>
  <si>
    <t>https://www.google.com/maps/place/Amit+Opticals/@28.7948874,76.1537752,17z/data=!3m1!4b1!4m6!3m5!1s0x391266ca60031a37:0x191614f80cde64a8!8m2!3d28.7948874!4d76.1537752!16s%2Fg%2F11g5_f59yc?authuser=0&amp;hl=en&amp;entry=ttu&amp;g_ep=EgoyMDI2MDcwOC4wIKXMDSoASAFQAw%3D%3D</t>
  </si>
  <si>
    <t>K.P.M. CHARITABLE HOSPITAL</t>
  </si>
  <si>
    <t>https://www.google.com/maps/place/K.P.M.+CHARITABLE+HOSPITAL/@28.7953623,76.1293962,17z/data=!3m1!4b1!4m6!3m5!1s0x3912672a68b45805:0xc6b15f121aea02e2!8m2!3d28.7953623!4d76.1293962!16s%2Fg%2F11f08qjs90?authuser=0&amp;hl=en&amp;entry=ttu&amp;g_ep=EgoyMDI2MDcwOC4wIKXMDSoASAFQAw%3D%3D</t>
  </si>
  <si>
    <t>balaji opticals</t>
  </si>
  <si>
    <t>https://www.google.com/maps/place/balaji+opticals/@28.7965332,76.1334689,17z/data=!3m1!4b1!4m6!3m5!1s0x3912672582dbc873:0x7ed5f7e187daa142!8m2!3d28.7965332!4d76.1334689!16s%2Fg%2F11qb84rvz5?authuser=0&amp;hl=en&amp;entry=ttu&amp;g_ep=EgoyMDI2MDcwOC4wIKXMDSoASAFQAw%3D%3D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</si>
</sst>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sz val="11.0"/>
      <color theme="1"/>
      <name val="Arial"/>
    </font>
    <font>
      <sz val="11.0"/>
      <color rgb="FF1F1F1F"/>
      <name val="Google Sans Text"/>
    </font>
    <font>
      <u/>
      <sz val="11.0"/>
      <color rgb="FF0000FF"/>
      <name val="Arial"/>
    </font>
    <font>
      <color theme="1"/>
      <name val="Arial"/>
    </font>
    <font>
      <u/>
      <sz val="11.0"/>
      <color rgb="FF1155CC"/>
      <name val="Arial"/>
    </font>
    <font>
      <sz val="12.0"/>
      <color theme="1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top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maps/place/Dr.+Dileep+Advance+Physiotherapy+Clinic/@25.8291303,72.2442419,17z/data=!3m1!4b1!4m6!3m5!1s0x3943e9bc58d8996f:0x81e3de61e7d96ad8!8m2!3d25.8291303!4d72.2442419!16s%2Fg%2F11n3wvxrlt?authuser=0&amp;hl=en&amp;entry=ttu&amp;g_ep=EgoyMDI2MDYyOS4wIKXMDSoASAFQAw%3D%3D" TargetMode="External"/><Relationship Id="rId190" Type="http://schemas.openxmlformats.org/officeDocument/2006/relationships/hyperlink" Target="https://www.google.com/maps/place/Shyam+Optics/@28.8006098,76.1411603,17z/data=!3m1!4b1!4m6!3m5!1s0x3912675fe914824f:0xb21f658b1d55be04!8m2!3d28.8006098!4d76.1411603!16s%2Fg%2F11s1wp1fhs?authuser=0&amp;hl=en&amp;entry=ttu&amp;g_ep=EgoyMDI2MDcwOC4wIKXMDSoASAFQAw%3D%3D" TargetMode="External"/><Relationship Id="rId42" Type="http://schemas.openxmlformats.org/officeDocument/2006/relationships/hyperlink" Target="https://www.google.com/maps/place/HERBALIFE+BALOTRA+NUTRITION+CENTRE/@25.8316038,72.2428389,17z/data=!3m1!4b1!4m6!3m5!1s0x3943e8d13aebcf31:0x5b71e58695b8ee26!8m2!3d25.8316038!4d72.2428389!16s%2Fg%2F11hz5_0s_8?authuser=0&amp;hl=en&amp;entry=ttu&amp;g_ep=EgoyMDI2MDYyOS4wIKXMDSoASAFQAw%3D%3D" TargetMode="External"/><Relationship Id="rId41" Type="http://schemas.openxmlformats.org/officeDocument/2006/relationships/hyperlink" Target="https://www.google.com/maps/place/Pranjal+Physiotherapy+And+Rehab+Center/@25.8278793,72.2495411,17z/data=!3m1!4b1!4m6!3m5!1s0x3943e90072ce67af:0x5bc2064deb2c69ab!8m2!3d25.8278793!4d72.2495411!16s%2Fg%2F11ln_j6xwf?authuser=0&amp;hl=en&amp;entry=ttu&amp;g_ep=EgoyMDI2MDYyOS4wIKXMDSoASAFQAw%3D%3D" TargetMode="External"/><Relationship Id="rId44" Type="http://schemas.openxmlformats.org/officeDocument/2006/relationships/hyperlink" Target="https://www.google.com/maps/place/SURESH+OPTICALS/@25.8271215,72.2436283,17z/data=!3m1!4b1!4m6!3m5!1s0x3943e8d429c8a457:0x7a2c09adf51a50d3!8m2!3d25.8271215!4d72.2436283!16s%2Fg%2F11f_p2lpj7?authuser=0&amp;hl=en&amp;entry=ttu&amp;g_ep=EgoyMDI2MDYyOS4wIKXMDSoASAFQAw%3D%3D" TargetMode="External"/><Relationship Id="rId194" Type="http://schemas.openxmlformats.org/officeDocument/2006/relationships/hyperlink" Target="https://www.google.com/maps/place/Khurana+Eye+Hospital/@28.7856269,76.1231468,17z/data=!3m1!4b1!4m6!3m5!1s0x391260d254824cd7:0x3e18c68f22879228!8m2!3d28.7856269!4d76.1231468!16s%2Fg%2F12m8_tcgn?authuser=0&amp;hl=en&amp;entry=ttu&amp;g_ep=EgoyMDI2MDcwOC4wIKXMDSoASAFQAw%3D%3D" TargetMode="External"/><Relationship Id="rId43" Type="http://schemas.openxmlformats.org/officeDocument/2006/relationships/hyperlink" Target="https://www.google.com/maps/place/Dr.+Dileep+Advance+Physiotherapy+Clinic/@25.8291303,72.2442419,17z/data=!3m1!4b1!4m6!3m5!1s0x3943e9bc58d8996f:0x81e3de61e7d96ad8!8m2!3d25.8291303!4d72.2442419!16s%2Fg%2F11n3wvxrlt?authuser=0&amp;hl=en&amp;entry=ttu&amp;g_ep=EgoyMDI2MDYyOS4wIKXMDSoASAFQAw%3D%3D" TargetMode="External"/><Relationship Id="rId193" Type="http://schemas.openxmlformats.org/officeDocument/2006/relationships/hyperlink" Target="https://www.google.com/maps/place/Gopaal+Optical+And+Eyecare+Centre+Pvt+Ltd/@28.8006234,76.1407419,17z/data=!3m1!4b1!4m6!3m5!1s0x391243b030bf7e1b:0x1c06b004cd6f3d6b!8m2!3d28.8006234!4d76.1407419!16s%2Fg%2F11qnvpf9p8?authuser=0&amp;hl=en&amp;entry=ttu&amp;g_ep=EgoyMDI2MDcwOC4wIKXMDSoASAFQAw%3D%3D" TargetMode="External"/><Relationship Id="rId46" Type="http://schemas.openxmlformats.org/officeDocument/2006/relationships/hyperlink" Target="https://www.google.com/maps/place/Navkar+optical/@25.8390017,72.2504796,17z/data=!3m1!4b1!4m6!3m5!1s0x3943e95270f8c0c1:0xf91725ff3cf2aa59!8m2!3d25.8390017!4d72.2504796!16s%2Fg%2F11xnnh98ls?authuser=0&amp;hl=en&amp;entry=ttu&amp;g_ep=EgoyMDI2MDYyOS4wIKXMDSoASAFQAw%3D%3D" TargetMode="External"/><Relationship Id="rId192" Type="http://schemas.openxmlformats.org/officeDocument/2006/relationships/hyperlink" Target="https://www.google.com/maps/place/NITESH+GOYAL+HEART+AND+POISON+HOSPITAL/@28.7984697,76.1440612,17z/data=!3m1!4b1!4m6!3m5!1s0x391267a6b61d71b5:0xa7b46adbab6ffbf1!8m2!3d28.7984697!4d76.1440612!16s%2Fg%2F11fn4mzl3b?authuser=0&amp;hl=en&amp;entry=ttu&amp;g_ep=EgoyMDI2MDcwOC4wIKXMDSoASAFQAw%3D%3D" TargetMode="External"/><Relationship Id="rId45" Type="http://schemas.openxmlformats.org/officeDocument/2006/relationships/hyperlink" Target="https://www.google.com/maps/place/S.R+Opticals+%7C%7C+Best+Optical+Shop,+Eye+Testing+Shop,+Chasma+Shop/@25.8316729,72.2374477,17z/data=!3m1!4b1!4m6!3m5!1s0x3943e98249e4c119:0x56ecd8aab59b9f31!8m2!3d25.8316729!4d72.2374477!16s%2Fg%2F11vb_snkz8?authuser=0&amp;hl=en&amp;entry=ttu&amp;g_ep=EgoyMDI2MDYyOS4wIKXMDSoASAFQAw%3D%3D" TargetMode="External"/><Relationship Id="rId191" Type="http://schemas.openxmlformats.org/officeDocument/2006/relationships/hyperlink" Target="https://www.google.com/maps/place/Kaushik+Hospital/@28.786834,76.1454493,17z/data=!3m1!4b1!4m6!3m5!1s0x3912613238a57ef7:0xd4d0587588bb7c7e!8m2!3d28.786834!4d76.1454493!16s%2Fg%2F11f3qx173m?authuser=0&amp;hl=en&amp;entry=ttu&amp;g_ep=EgoyMDI2MDcwOC4wIKXMDSoASAFQAw%3D%3D" TargetMode="External"/><Relationship Id="rId48" Type="http://schemas.openxmlformats.org/officeDocument/2006/relationships/hyperlink" Target="https://www.google.com/maps/place/Dr+Manish+Sethiya+Balotara/@25.8291853,72.2424502,17z/data=!3m1!4b1!4m6!3m5!1s0x3943e943e33db8fd:0xa031398da2920271!8m2!3d25.8291853!4d72.2424502!16s%2Fg%2F11g0lc8nwq?authuser=0&amp;hl=en&amp;entry=ttu&amp;g_ep=EgoyMDI2MDYyOS4wIKXMDSoASAFQAw%3D%3D" TargetMode="External"/><Relationship Id="rId187" Type="http://schemas.openxmlformats.org/officeDocument/2006/relationships/hyperlink" Target="https://www.google.com/maps/place/Doctor+Sachin+Tanwar/@28.7983169,76.1311288,17z/data=!3m1!4b1!4m6!3m5!1s0x3912679424778b0f:0x37b9a17be8c9c98a!8m2!3d28.7983169!4d76.1311288!16s%2Fg%2F11sw0d92kq?authuser=0&amp;hl=en&amp;entry=ttu&amp;g_ep=EgoyMDI2MDcwOC4wIKXMDSoASAFQAw%3D%3D" TargetMode="External"/><Relationship Id="rId47" Type="http://schemas.openxmlformats.org/officeDocument/2006/relationships/hyperlink" Target="https://www.google.com/maps/place/DR.+HARUN+KHAN+M.S.ENT/@25.8329983,72.2422765,17z/data=!3m1!4b1!4m6!3m5!1s0x3943e94ef4c880fd:0x7ace70efcdd0477b!8m2!3d25.8329983!4d72.2422765!16s%2Fg%2F11s91mrrr4?authuser=0&amp;hl=en&amp;entry=ttu&amp;g_ep=EgoyMDI2MDYyOS4wIKXMDSoASAFQAw%3D%3D" TargetMode="External"/><Relationship Id="rId186" Type="http://schemas.openxmlformats.org/officeDocument/2006/relationships/hyperlink" Target="https://www.google.com/maps/place/Sarin+Eye+Hospital+and+Diagnostic+Centre/@28.798379,76.142678,17z/data=!3m1!4b1!4m6!3m5!1s0x391266d1dd376f41:0xa7763d6e0fde7ac8!8m2!3d28.798379!4d76.142678!16s%2Fg%2F1hf0_pmhk?authuser=0&amp;hl=en&amp;entry=ttu&amp;g_ep=EgoyMDI2MDcwOC4wIKXMDSoASAFQAw%3D%3D" TargetMode="External"/><Relationship Id="rId185" Type="http://schemas.openxmlformats.org/officeDocument/2006/relationships/hyperlink" Target="https://www.google.com/maps/place/SHANTI+HOSPITAL+-+Best+Eye+Hospital+in+Bhiwani+%7C+Top+Eye+Hospital+in+Bhiwani/@28.7787727,76.1168377,17z/data=!3m1!4b1!4m6!3m5!1s0x391261d66041e287:0x447365fe00f10ff2!8m2!3d28.7787727!4d76.1168377!16s%2Fg%2F11p0_8zmfj?authuser=0&amp;hl=en&amp;entry=ttu&amp;g_ep=EgoyMDI2MDcwOC4wIKXMDSoASAFQAw%3D%3D" TargetMode="External"/><Relationship Id="rId49" Type="http://schemas.openxmlformats.org/officeDocument/2006/relationships/hyperlink" Target="https://www.google.com/maps/place/Dr+Kalpesh+Choudhary+%7C%7C+Best+Skin+Hospital,+Skin+Clinic,+Cosmetic+And+Laser+Hospital,+Dermatologist/@25.8288513,72.2554653,17z/data=!3m1!4b1!4m6!3m5!1s0x3943e8df24750a0b:0xbc422cb7ac6cb029!8m2!3d25.8288513!4d72.2554653!16s%2Fg%2F11bxdwwz_8?authuser=0&amp;hl=en&amp;entry=ttu&amp;g_ep=EgoyMDI2MDYyOS4wIKXMDSoASAFQAw%3D%3D" TargetMode="External"/><Relationship Id="rId184" Type="http://schemas.openxmlformats.org/officeDocument/2006/relationships/hyperlink" Target="https://www.google.com/maps/place/Dr+Narinder+Taneja+Narinder+Netralaya+wale+Bhiwani/@28.8005989,76.1421567,17z/data=!3m1!4b1!4m6!3m5!1s0x391266d8f56cfaa5:0x5ac7a51f6e35fc1e!8m2!3d28.8005989!4d76.1421567!16s%2Fg%2F124t1rr3j?authuser=0&amp;hl=en&amp;entry=ttu&amp;g_ep=EgoyMDI2MDcwOC4wIKXMDSoASAFQAw%3D%3D" TargetMode="External"/><Relationship Id="rId189" Type="http://schemas.openxmlformats.org/officeDocument/2006/relationships/hyperlink" Target="https://www.google.com/maps/place/Delhi+Optics+-+Best+Sunglasses+Shop%2FSunglasses+Shop%2FTop+Sunglasses+Shop%2FBest+Watch+Shop%2FTop+Watch+Shop/@28.8009201,76.1404151,17z/data=!3m1!4b1!4m6!3m5!1s0x391266d0ad7d759d:0x7f0ac824e0836a35!8m2!3d28.8009201!4d76.1404151!16s%2Fg%2F11c709k001?authuser=0&amp;hl=en&amp;entry=ttu&amp;g_ep=EgoyMDI2MDcwOC4wIKXMDSoASAFQAw%3D%3D" TargetMode="External"/><Relationship Id="rId188" Type="http://schemas.openxmlformats.org/officeDocument/2006/relationships/hyperlink" Target="https://www.google.com/maps/place/Sunny+Optical/@28.8008772,76.1387934,17z/data=!3m1!4b1!4m6!3m5!1s0x391267630eb3b7df:0x5efb5ee6fe2b1f52!8m2!3d28.8008772!4d76.1387934!16s%2Fg%2F11fn4c28ys?authuser=0&amp;hl=en&amp;entry=ttu&amp;g_ep=EgoyMDI2MDcwOC4wIKXMDSoASAFQAw%3D%3D" TargetMode="External"/><Relationship Id="rId31" Type="http://schemas.openxmlformats.org/officeDocument/2006/relationships/hyperlink" Target="https://www.google.com/maps/place/Valley+Pediatrics+%26+Specialty+Center/@36.1760183,-115.1165299,17z/data=!3m1!4b1!4m6!3m5!1s0x80c8c33f88cc26a1:0xfaaf533312fd4e6c!8m2!3d36.1760183!4d-115.1165299!16s%2Fg%2F11byyjyv_6?authuser=0&amp;hl=en&amp;entry=ttu&amp;g_ep=EgoyMDI2MDYyOS4wIKXMDSoASAFQAw%3D%3D" TargetMode="External"/><Relationship Id="rId30" Type="http://schemas.openxmlformats.org/officeDocument/2006/relationships/hyperlink" Target="https://www.google.com/maps/place/Advanced+Chiropractic/@36.1594883,-115.1357404,17z/data=!3m1!4b1!4m6!3m5!1s0x80c8c37976b6bdfb:0x1278b92841be3886!8m2!3d36.1594883!4d-115.1357404!16s%2Fg%2F1vfp8h0s?authuser=0&amp;hl=en&amp;entry=ttu&amp;g_ep=EgoyMDI2MDYyOS4wIKXMDSoASAFQAw%3D%3D" TargetMode="External"/><Relationship Id="rId33" Type="http://schemas.openxmlformats.org/officeDocument/2006/relationships/hyperlink" Target="https://www.google.com/maps/place/Metro+Dental+Care+Dr.+Arjun+Patel/@25.8317114,72.2437431,17z/data=!3m1!4b1!4m6!3m5!1s0x3943e8d14786e341:0xf0ed21d2a222ab93!8m2!3d25.8317114!4d72.2437431!16s%2Fg%2F11c3k54phs?authuser=0&amp;hl=en&amp;entry=ttu&amp;g_ep=EgoyMDI2MDYyOS4wIKXMDSoASAFQAw%3D%3D" TargetMode="External"/><Relationship Id="rId183" Type="http://schemas.openxmlformats.org/officeDocument/2006/relationships/hyperlink" Target="https://www.google.com/maps/place/Bhardwaj+Multispeciality+Hospital/@28.7970129,76.1464504,17z/data=!3m1!4b1!4m6!3m5!1s0x391266c0f03fffff:0x1c77bfbe5ad9620a!8m2!3d28.7970129!4d76.1464504!16s%2Fg%2F11cnbm0d4j?authuser=0&amp;hl=en&amp;entry=ttu&amp;g_ep=EgoyMDI2MDcwOC4wIKXMDSoASAFQAw%3D%3D" TargetMode="External"/><Relationship Id="rId32" Type="http://schemas.openxmlformats.org/officeDocument/2006/relationships/hyperlink" Target="https://www.google.com/maps/place/Valley+Pediatric+%26+Specialty+Center/@36.1586879,-115.1903562,17z/data=!3m1!4b1!4m6!3m5!1s0x80c8c3e1200748b9:0x585c2473333ad9b4!8m2!3d36.1586879!4d-115.1903562!16s%2Fg%2F1tcv6lll?authuser=0&amp;hl=en&amp;entry=ttu&amp;g_ep=EgoyMDI2MDYyOS4wIKXMDSoASAFQAw%3D%3D" TargetMode="External"/><Relationship Id="rId182" Type="http://schemas.openxmlformats.org/officeDocument/2006/relationships/hyperlink" Target="https://www.google.com/maps/place/Hisar+speech+%26+Hearing+Solutions%2F+Best+hearing+aid+centre+%2F+Speech+therapy%2F+Hearing+test%2F+Kaan+Ki+Machine/@28.8012088,76.1389397,17z/data=!3m1!4b1!4m6!3m5!1s0x391267b88e705c3f:0xc78bd5f16287a5e8!8m2!3d28.8012088!4d76.1389397!16s%2Fg%2F11t__q78lj?authuser=0&amp;hl=en&amp;entry=ttu&amp;g_ep=EgoyMDI2MDcwOC4wIKXMDSoASAFQAw%3D%3D" TargetMode="External"/><Relationship Id="rId35" Type="http://schemas.openxmlformats.org/officeDocument/2006/relationships/hyperlink" Target="https://www.google.com/maps/place/DR+S+K+RAJPUROHIT+SKIN+LASER+AND+HAIR+CLINIC/@25.8241817,72.2445696,17z/data=!3m1!4b1!4m6!3m5!1s0x3943e9d6d8228c4d:0xaa1d89062747b52!8m2!3d25.8241817!4d72.2445696!16s%2Fg%2F11wwzblrg_?authuser=0&amp;hl=en&amp;entry=ttu&amp;g_ep=EgoyMDI2MDYyOS4wIKXMDSoASAFQAw%3D%3D" TargetMode="External"/><Relationship Id="rId181" Type="http://schemas.openxmlformats.org/officeDocument/2006/relationships/hyperlink" Target="https://www.google.com/maps/place/Advanced+Rehabilitation/@33.8832576,-117.9257971,17z/data=!3m1!4b1!4m6!3m5!1s0x80dd2a75918ae37d:0x8cdd201fb49b285d!8m2!3d33.8832576!4d-117.9257971!16s%2Fg%2F1yg4tsg2z?authuser=0&amp;hl=en&amp;entry=ttu&amp;g_ep=EgoyMDI2MDcwNy4wIKXMDSoASAFQAw%3D%3D" TargetMode="External"/><Relationship Id="rId34" Type="http://schemas.openxmlformats.org/officeDocument/2006/relationships/hyperlink" Target="https://www.google.com/maps/place/Smile+Dental+Care/@25.8320511,72.2413813,17z/data=!3m1!4b1!4m6!3m5!1s0x3943e9b17fbb01b7:0xe1bcb7df195583d6!8m2!3d25.8320511!4d72.2413813!16s%2Fg%2F11ydmmd75p?authuser=0&amp;hl=en&amp;entry=ttu&amp;g_ep=EgoyMDI2MDYyOS4wIKXMDSoASAFQAw%3D%3D" TargetMode="External"/><Relationship Id="rId180" Type="http://schemas.openxmlformats.org/officeDocument/2006/relationships/hyperlink" Target="https://www.google.com/maps/place/The+Abby+Pavilion+Healthcare+Center+of+Anaheim/@33.8178002,-118.0091842,17z/data=!3m1!4b1!4m6!3m5!1s0x80dd2937d714c37b:0x8aef8a2dfeeac3d!8m2!3d33.8178002!4d-118.0091842!16s%2Fg%2F11b6bwdnv3?authuser=0&amp;hl=en&amp;entry=ttu&amp;g_ep=EgoyMDI2MDcwNy4wIKXMDSoASAFQAw%3D%3D" TargetMode="External"/><Relationship Id="rId37" Type="http://schemas.openxmlformats.org/officeDocument/2006/relationships/hyperlink" Target="https://www.google.com/maps/place/Balotra+pet+clinic(+animal+hospital)/@25.8365599,72.2481875,17z/data=!3m1!4b1!4m6!3m5!1s0x3943e9002b584957:0x3587c2b1100f7f7!8m2!3d25.8365599!4d72.2481875!16s%2Fg%2F11vrlqf3h_?authuser=0&amp;hl=en&amp;entry=ttu&amp;g_ep=EgoyMDI2MDYyOS4wIKXMDSoASAFQAw%3D%3D" TargetMode="External"/><Relationship Id="rId176" Type="http://schemas.openxmlformats.org/officeDocument/2006/relationships/hyperlink" Target="https://www.google.com/maps/place/Tution+class+at+Anand+Gujarat/@22.5604045,72.9504613,17z/data=!3m1!4b1!4m6!3m5!1s0x395e4fbae8db4b6d:0xe6ef5afa93124b9e!8m2!3d22.5604045!4d72.9504613!16s%2Fg%2F11ydpnfzc6?authuser=0&amp;hl=en&amp;entry=ttu&amp;g_ep=EgoyMDI2MDcwNy4wIKXMDSoASAFQAw%3D%3D" TargetMode="External"/><Relationship Id="rId36" Type="http://schemas.openxmlformats.org/officeDocument/2006/relationships/hyperlink" Target="https://www.google.com/maps/place/Centre+For+Smile+-+Multispeciality+Dental+Clinic+in+Balotra/@25.8280141,72.2479757,17z/data=!3m1!4b1!4m6!3m5!1s0x3943e984f51f16a1:0xe2bc06444564baff!8m2!3d25.8280141!4d72.2479757!16s%2Fg%2F11vs7xtf7_?authuser=0&amp;hl=en&amp;entry=ttu&amp;g_ep=EgoyMDI2MDYyOS4wIKXMDSoASAFQAw%3D%3D" TargetMode="External"/><Relationship Id="rId175" Type="http://schemas.openxmlformats.org/officeDocument/2006/relationships/hyperlink" Target="https://www.google.com/maps/place/Spark+Academy+-+Engineering+Tuition+Classes/@22.5574964,72.9270113,17z/data=!3m1!4b1!4m6!3m5!1s0x395e4e7235db5471:0x67a3fc430b94bf40!8m2!3d22.5574964!4d72.9270113!16s%2Fg%2F11f0_dpsnj?authuser=0&amp;hl=en&amp;entry=ttu&amp;g_ep=EgoyMDI2MDcwNy4wIKXMDSoASAFQAw%3D%3D" TargetMode="External"/><Relationship Id="rId39" Type="http://schemas.openxmlformats.org/officeDocument/2006/relationships/hyperlink" Target="https://www.google.com/maps/place/Dr+Bhairu+Pet+Clinic+Balotra/@25.8548492,72.2531219,17z/data=!3m1!4b1!4m6!3m5!1s0x3943e9f1e1a31ec3:0x2a946aa25ee3f19f!8m2!3d25.8548492!4d72.2531219!16s%2Fg%2F11wflt3gns?authuser=0&amp;hl=en&amp;entry=ttu&amp;g_ep=EgoyMDI2MDYyOS4wIKXMDSoASAFQAw%3D%3D" TargetMode="External"/><Relationship Id="rId174" Type="http://schemas.openxmlformats.org/officeDocument/2006/relationships/hyperlink" Target="https://www.google.com/maps/place/Genius+Tuition+Classes/@22.5552853,72.9389199,17z/data=!3m1!4b1!4m6!3m5!1s0x395e4f4e0d16f5f5:0xb6a162f791c11170!8m2!3d22.5552853!4d72.9389199!16s%2Fg%2F11ns59_cs4?authuser=0&amp;hl=en&amp;entry=ttu&amp;g_ep=EgoyMDI2MDcwNy4wIKXMDSoASAFQAw%3D%3D" TargetMode="External"/><Relationship Id="rId38" Type="http://schemas.openxmlformats.org/officeDocument/2006/relationships/hyperlink" Target="https://www.google.com/maps/place/Mahadev+Dental+Lab+%26+Cadcam/@25.8321576,72.244353,17z/data=!3m1!4b1!4m6!3m5!1s0x3943e923187717f3:0x291e7014b7175466!8m2!3d25.8321576!4d72.244353!16s%2Fg%2F11ydwxyzmd?authuser=0&amp;hl=en&amp;entry=ttu&amp;g_ep=EgoyMDI2MDYyOS4wIKXMDSoASAFQAw%3D%3D" TargetMode="External"/><Relationship Id="rId173" Type="http://schemas.openxmlformats.org/officeDocument/2006/relationships/hyperlink" Target="https://www.google.com/maps/place/ICE-+Institute+of+Computer+Education/@22.5573669,72.9546817,17z/data=!3m1!4b1!4m6!3m5!1s0x395e4e90e67cb619:0x7b6a55e1de912b9e!8m2!3d22.5573669!4d72.9546817!16s%2Fg%2F11c209c2lp?authuser=0&amp;hl=en&amp;entry=ttu&amp;g_ep=EgoyMDI2MDcwNy4wIKXMDSoASAFQAw%3D%3D" TargetMode="External"/><Relationship Id="rId179" Type="http://schemas.openxmlformats.org/officeDocument/2006/relationships/hyperlink" Target="https://www.google.com/maps/place/Hallmark+Rehabilitation/@33.8235471,-117.9659433,17z/data=!3m1!4b1!4m6!3m5!1s0x80dcd6297ef03417:0x4cd787b0239c4e2e!8m2!3d33.8235471!4d-117.9659433!16s%2Fg%2F1vq754l5?authuser=0&amp;hl=en&amp;entry=ttu&amp;g_ep=EgoyMDI2MDcwNy4wIKXMDSoASAFQAw%3D%3D" TargetMode="External"/><Relationship Id="rId178" Type="http://schemas.openxmlformats.org/officeDocument/2006/relationships/hyperlink" Target="https://www.google.com/maps/place/Great+Los+Angeles+Department+of+Rehabilitation/@34.0619462,-118.2957607,17z/data=!3m1!4b1!4m6!3m5!1s0x80c2c77c5a11bb8f:0x77a76b160ff26315!8m2!3d34.0619462!4d-118.2957607!16s%2Fg%2F11b5plc1w2?authuser=0&amp;hl=en&amp;entry=ttu&amp;g_ep=EgoyMDI2MDcwNy4wIKXMDSoASAFQAw%3D%3D" TargetMode="External"/><Relationship Id="rId177" Type="http://schemas.openxmlformats.org/officeDocument/2006/relationships/hyperlink" Target="https://www.google.com/maps/place/Orangegrove+Rehabilitation+Hospital/@33.773867,-117.9173377,17z/data=!3m1!4b1!4m6!3m5!1s0x80dcd80389e94533:0xde3c3e27e10b2cd9!8m2!3d33.773867!4d-117.9173377!16s%2Fg%2F1tdf1nd7?authuser=0&amp;hl=en&amp;entry=ttu&amp;g_ep=EgoyMDI2MDcwNy4wIKXMDSoASAFQAw%3D%3D" TargetMode="External"/><Relationship Id="rId20" Type="http://schemas.openxmlformats.org/officeDocument/2006/relationships/hyperlink" Target="https://www.google.com/maps/place/Dr.+Suman+Dental+Hospital/@28.7868741,76.1307898,17z/data=!3m1!4b1!4m6!3m5!1s0x391260d5759de6b1:0x7c603380b55d287!8m2!3d28.7868741!4d76.1307898!16s%2Fg%2F11d__cr8sg?authuser=0&amp;hl=en&amp;entry=ttu&amp;g_ep=EgoyMDI2MDYyOS4wIKXMDSoASAFQAw%3D%3D" TargetMode="External"/><Relationship Id="rId22" Type="http://schemas.openxmlformats.org/officeDocument/2006/relationships/hyperlink" Target="https://www.google.com/maps/place/Balaji+Dental+Clinic/@28.7990959,76.1436103,17z/data=!3m1!4b1!4m6!3m5!1s0x391266c740da2327:0x9e6f347811b7266f!8m2!3d28.7990959!4d76.1436103!16s%2Fg%2F11bvss99yt?authuser=0&amp;hl=en&amp;entry=ttu&amp;g_ep=EgoyMDI2MDYyOS4wIKXMDSoASAFQAw%3D%3D" TargetMode="External"/><Relationship Id="rId21" Type="http://schemas.openxmlformats.org/officeDocument/2006/relationships/hyperlink" Target="https://www.google.com/maps/place/Shree+Shyam+Multi-speciality+Dental+clinic/@28.7954074,76.1574093,17z/data=!3m1!4b1!4m6!3m5!1s0x3912670b9e6bf34d:0x23eba40cbd278df8!8m2!3d28.7954074!4d76.1574093!16s%2Fg%2F11yfkdd__4?authuser=0&amp;hl=en&amp;entry=ttu&amp;g_ep=EgoyMDI2MDYyOS4wIKXMDSoASAFQAw%3D%3D" TargetMode="External"/><Relationship Id="rId24" Type="http://schemas.openxmlformats.org/officeDocument/2006/relationships/hyperlink" Target="https://www.google.com/maps/place/dr.saurabh+dental+clinic/@28.7913583,76.130935,17z/data=!3m1!4b1!4m6!3m5!1s0x3912672a96a4098b:0x7d2b0a639ae01b9d!8m2!3d28.7913583!4d76.130935!16s%2Fg%2F11g71b64td?authuser=0&amp;hl=en&amp;entry=ttu&amp;g_ep=EgoyMDI2MDYyOS4wIKXMDSoASAFQAw%3D%3D" TargetMode="External"/><Relationship Id="rId23" Type="http://schemas.openxmlformats.org/officeDocument/2006/relationships/hyperlink" Target="https://www.google.com/maps/place/Vivek+Oro-Dental+Care/@28.8001356,76.1406028,17z/data=!3m1!4b1!4m6!3m5!1s0x3912676b0255a8a5:0xd7fe19f0e4169372!8m2!3d28.8001356!4d76.1406028!16s%2Fg%2F11h3nhg12y?authuser=0&amp;hl=en&amp;entry=ttu&amp;g_ep=EgoyMDI2MDYyOS4wIKXMDSoASAFQAw%3D%3D" TargetMode="External"/><Relationship Id="rId26" Type="http://schemas.openxmlformats.org/officeDocument/2006/relationships/hyperlink" Target="https://www.google.com/maps/place/Jyoti+Dental+Hospital/@28.79562,76.155363,17z/data=!3m1!4b1!4m6!3m5!1s0x391266ca789feaab:0x7e5522df8f01821f!8m2!3d28.79562!4d76.155363!16s%2Fg%2F11cn9374_z?authuser=0&amp;hl=en&amp;entry=ttu&amp;g_ep=EgoyMDI2MDYyOS4wIKXMDSoASAFQAw%3D%3D" TargetMode="External"/><Relationship Id="rId25" Type="http://schemas.openxmlformats.org/officeDocument/2006/relationships/hyperlink" Target="https://www.google.com/maps/place/sharda+dental+care+%26+implant+centre/@28.7959237,76.1466342,17z/data=!3m1!4b1!4m6!3m5!1s0x391266cc3155f887:0xe0eb79a4ace7db39!8m2!3d28.7959237!4d76.1466342!16s%2Fg%2F11vk0h9rmf?authuser=0&amp;hl=en&amp;entry=ttu&amp;g_ep=EgoyMDI2MDYyOS4wIKXMDSoASAFQAw%3D%3D" TargetMode="External"/><Relationship Id="rId28" Type="http://schemas.openxmlformats.org/officeDocument/2006/relationships/hyperlink" Target="https://www.google.com/maps/place/Las+Vegas+Chiropractic+Center/@36.1446053,-115.1341208,17z/data=!3m1!4b1!4m6!3m5!1s0x80c8c484357b1589:0xce9c05287e1b799a!8m2!3d36.1446053!4d-115.1341208!16s%2Fg%2F11c433v47f?authuser=0&amp;hl=en&amp;entry=ttu&amp;g_ep=EgoyMDI2MDYyOS4wIKXMDSoASAFQAw%3D%3D" TargetMode="External"/><Relationship Id="rId27" Type="http://schemas.openxmlformats.org/officeDocument/2006/relationships/hyperlink" Target="https://www.google.com/maps/place/Shri+Balaji+Dental+Hospital/@28.9455268,76.0336166,17z/data=!3m1!4b1!4m6!3m5!1s0x391243cc03043bbd:0x9a3e8b54c497d40e!8m2!3d28.9455268!4d76.0336166!16s%2Fg%2F11c70hkc_q?authuser=0&amp;hl=en&amp;entry=ttu&amp;g_ep=EgoyMDI2MDYyOS4wIKXMDSoASAFQAw%3D%3D" TargetMode="External"/><Relationship Id="rId29" Type="http://schemas.openxmlformats.org/officeDocument/2006/relationships/hyperlink" Target="https://www.google.com/maps/place/Las+Vegas+Valley+Chiropractic/@36.1718544,-115.1151912,17z/data=!3m1!4b1!4m6!3m5!1s0x80c8c49f758360f1:0x9bdb2022a71b4908!8m2!3d36.1718544!4d-115.1151912!16s%2Fg%2F1td4dv4z?authuser=0&amp;hl=en&amp;entry=ttu&amp;g_ep=EgoyMDI2MDYyOS4wIKXMDSoASAFQAw%3D%3D" TargetMode="External"/><Relationship Id="rId11" Type="http://schemas.openxmlformats.org/officeDocument/2006/relationships/hyperlink" Target="https://www.google.com/maps/place/Kusum+dental+care+%26+implant+center./@28.7937401,76.1570572,17z/data=!3m1!4b1!4m6!3m5!1s0x39126160e4187a5f:0x66cdea3f1c1b2a37!8m2!3d28.7937401!4d76.1570572!16s%2Fg%2F11kfmb1yb1?authuser=0&amp;hl=en&amp;entry=ttu&amp;g_ep=EgoyMDI2MDYyOS4wIKXMDSoASAFQAw%3D%3D" TargetMode="External"/><Relationship Id="rId10" Type="http://schemas.openxmlformats.org/officeDocument/2006/relationships/hyperlink" Target="https://www.google.com/maps/place/Armaan+Dental+Clinic+%26+Smile+Center+-+Dental+Clinic+in+Bhiwani/@28.7972598,76.1465559,17z/data=!3m1!4b1!4m6!3m5!1s0x391266d7b7cf2939:0x74f12b43cc37a053!8m2!3d28.7972598!4d76.1465559!16s%2Fg%2F11b7ldz0yv?authuser=0&amp;hl=en&amp;entry=ttu&amp;g_ep=EgoyMDI2MDYyOS4wIKXMDSoASAFQAw%3D%3D" TargetMode="External"/><Relationship Id="rId13" Type="http://schemas.openxmlformats.org/officeDocument/2006/relationships/hyperlink" Target="https://www.google.com/maps/place/Sangeet+Dental+Care+%26+Cosmetic+Center,+Bhiwani/@28.7968661,76.1467387,17z/data=!3m1!4b1!4m6!3m5!1s0x39126798f96ce111:0xdc936d13b9deea48!8m2!3d28.7968661!4d76.1467387!16s%2Fg%2F11twh3t_jc?authuser=0&amp;hl=en&amp;entry=ttu&amp;g_ep=EgoyMDI2MDYyOS4wIKXMDSoASAFQAw%3D%3D" TargetMode="External"/><Relationship Id="rId12" Type="http://schemas.openxmlformats.org/officeDocument/2006/relationships/hyperlink" Target="https://www.google.com/maps/place/Bhiwani+Dental+Hospital+and+Implant+center/@28.7981142,76.1451052,17z/data=!3m1!4b1!4m6!3m5!1s0x391266ce152fe1fb:0x5e570cbe3f633997!8m2!3d28.7981142!4d76.1451052!16s%2Fg%2F11dxlc6p98?authuser=0&amp;hl=en&amp;entry=ttu&amp;g_ep=EgoyMDI2MDYyOS4wIKXMDSoASAFQAw%3D%3D" TargetMode="External"/><Relationship Id="rId15" Type="http://schemas.openxmlformats.org/officeDocument/2006/relationships/hyperlink" Target="https://www.google.com/maps/place/Shivay+dental+hospital/@28.786073,76.1448814,17z/data=!3m1!4b1!4m6!3m5!1s0x3912675d50bc69ab:0xeb80ba2bbdacddf0!8m2!3d28.786073!4d76.1448814!16s%2Fg%2F11y0t35hy5?authuser=0&amp;hl=en&amp;entry=ttu&amp;g_ep=EgoyMDI2MDYyOS4wIKXMDSoASAFQAw%3D%3D" TargetMode="External"/><Relationship Id="rId198" Type="http://schemas.openxmlformats.org/officeDocument/2006/relationships/hyperlink" Target="https://www.google.com/maps/place/Amit+Opticals/@28.7948874,76.1537752,17z/data=!3m1!4b1!4m6!3m5!1s0x391266ca60031a37:0x191614f80cde64a8!8m2!3d28.7948874!4d76.1537752!16s%2Fg%2F11g5_f59yc?authuser=0&amp;hl=en&amp;entry=ttu&amp;g_ep=EgoyMDI2MDcwOC4wIKXMDSoASAFQAw%3D%3D" TargetMode="External"/><Relationship Id="rId14" Type="http://schemas.openxmlformats.org/officeDocument/2006/relationships/hyperlink" Target="https://www.google.com/maps/place/Dr+Samiksha's+DENTAL+STUDIO/@28.8038265,76.1374559,17z/data=!3m1!4b1!4m6!3m5!1s0x391267e2ff0bf55d:0x7dbc5caa89eaaa80!8m2!3d28.8038265!4d76.1374559!16s%2Fg%2F11wtjt0g6c?authuser=0&amp;hl=en&amp;entry=ttu&amp;g_ep=EgoyMDI2MDYyOS4wIKXMDSoASAFQAw%3D%3D" TargetMode="External"/><Relationship Id="rId197" Type="http://schemas.openxmlformats.org/officeDocument/2006/relationships/hyperlink" Target="https://www.google.com/maps/place/Dani+Devi+Memorial+Eye+Hospital/@29.4088291,76.0476794,17z/data=!3m1!4b1!4m6!3m5!1s0x39122101311bec53:0x55846c6495b9d70b!8m2!3d29.4088291!4d76.0476794!16s%2Fg%2F11h4qmzhwv?authuser=0&amp;hl=en&amp;entry=ttu&amp;g_ep=EgoyMDI2MDcwOC4wIKXMDSoASAFQAw%3D%3D" TargetMode="External"/><Relationship Id="rId17" Type="http://schemas.openxmlformats.org/officeDocument/2006/relationships/hyperlink" Target="https://www.google.com/maps/place/SHREE+Balaji+Dental+Clinic,dadrigate+Bhiwani/@28.7853141,76.1435932,17z/data=!3m1!4b1!4m6!3m5!1s0x39126131e9555555:0xe6ebf685b0d1cd7e!8m2!3d28.7853141!4d76.1435932!16s%2Fg%2F11cmtrs74k?authuser=0&amp;hl=en&amp;entry=ttu&amp;g_ep=EgoyMDI2MDYyOS4wIKXMDSoASAFQAw%3D%3D" TargetMode="External"/><Relationship Id="rId196" Type="http://schemas.openxmlformats.org/officeDocument/2006/relationships/hyperlink" Target="https://www.google.com/maps/place/The+Seeker+library/@25.8370672,72.245944,17z/data=!3m1!4b1!4m6!3m5!1s0x3943e96bc548e5cd:0xb42f788a0ef98f3b!8m2!3d25.8370672!4d72.245944!16s%2Fg%2F11xzh2n3cw?authuser=0&amp;hl=en&amp;entry=ttu&amp;g_ep=EgoyMDI2MDcwOC4wIKXMDSoASAFQAw%3D%3D" TargetMode="External"/><Relationship Id="rId16" Type="http://schemas.openxmlformats.org/officeDocument/2006/relationships/hyperlink" Target="https://www.google.com/maps/place/Dr.+Yamini+Dental+Care/@28.8000373,76.1421294,17z/data=!3m1!4b1!4m6!3m5!1s0x391267dc3778f7b9:0x8402ca2e2762644d!8m2!3d28.8000373!4d76.1421294!16s%2Fg%2F11xtlvhp7d?authuser=0&amp;hl=en&amp;entry=ttu&amp;g_ep=EgoyMDI2MDYyOS4wIKXMDSoASAFQAw%3D%3D" TargetMode="External"/><Relationship Id="rId195" Type="http://schemas.openxmlformats.org/officeDocument/2006/relationships/hyperlink" Target="https://www.google.com/maps/place/Chhabra+Optical/@28.7961789,76.1337212,17z/data=!3m1!4b1!4m6!3m5!1s0x391266d67233d0b7:0x30f0d72a127190c6!8m2!3d28.7961789!4d76.1337212!16s%2Fg%2F11cjkq26k0?authuser=0&amp;hl=en&amp;entry=ttu&amp;g_ep=EgoyMDI2MDcwOC4wIKXMDSoASAFQAw%3D%3D" TargetMode="External"/><Relationship Id="rId19" Type="http://schemas.openxmlformats.org/officeDocument/2006/relationships/hyperlink" Target="https://www.google.com/maps/place/Shri+Kalyani+Mata+Dental+clinic/@28.8010578,76.142317,17z/data=!3m1!4b1!4m6!3m5!1s0x391266d08885dabf:0x2cea09bca9aad8d!8m2!3d28.8010578!4d76.142317!16s%2Fg%2F11g9nf2h63?authuser=0&amp;hl=en&amp;entry=ttu&amp;g_ep=EgoyMDI2MDYyOS4wIKXMDSoASAFQAw%3D%3D" TargetMode="External"/><Relationship Id="rId18" Type="http://schemas.openxmlformats.org/officeDocument/2006/relationships/hyperlink" Target="https://www.google.com/maps/place/Shree+Ram+Dental+Care+And+Implant+Centre/@28.8085601,76.1129896,17z/data=!4m6!3m5!1s0x3912670052481317:0xf5cd64cea0af0b4f!8m2!3d28.8085601!4d76.1129896!16s%2Fg%2F11y8l_g904?authuser=0&amp;hl=en&amp;entry=ttu&amp;g_ep=EgoyMDI2MDYyOS4wIKXMDSoASAFQAw%3D%3D" TargetMode="External"/><Relationship Id="rId199" Type="http://schemas.openxmlformats.org/officeDocument/2006/relationships/hyperlink" Target="https://www.google.com/maps/place/K.P.M.+CHARITABLE+HOSPITAL/@28.7953623,76.1293962,17z/data=!3m1!4b1!4m6!3m5!1s0x3912672a68b45805:0xc6b15f121aea02e2!8m2!3d28.7953623!4d76.1293962!16s%2Fg%2F11f08qjs90?authuser=0&amp;hl=en&amp;entry=ttu&amp;g_ep=EgoyMDI2MDcwOC4wIKXMDSoASAFQAw%3D%3D" TargetMode="External"/><Relationship Id="rId84" Type="http://schemas.openxmlformats.org/officeDocument/2006/relationships/hyperlink" Target="https://www.google.com/maps/place/Sahajanand+Classes/@22.5556834,72.928437,17z/data=!3m1!4b1!4m6!3m5!1s0x395e4e715f8482e3:0x270c0a14c19d8c71!8m2!3d22.5556834!4d72.928437!16s%2Fg%2F11bv197sq8?authuser=0&amp;hl=en&amp;entry=ttu&amp;g_ep=EgoyMDI2MDYyOS4wIKXMDSoASAFQAw%3D%3D" TargetMode="External"/><Relationship Id="rId83" Type="http://schemas.openxmlformats.org/officeDocument/2006/relationships/hyperlink" Target="https://www.google.com/maps/place/Flames+Academy+-+Best+Tuition+Class+In+Your+Town/@22.5535045,72.9548406,17z/data=!3m1!4b1!4m6!3m5!1s0x395e4fe2740c5813:0xa6ac9e854b43ca6e!8m2!3d22.5535045!4d72.9548406!16s%2Fg%2F11s2j4lp96?authuser=0&amp;hl=en&amp;entry=ttu&amp;g_ep=EgoyMDI2MDYyOS4wIKXMDSoASAFQAw%3D%3D" TargetMode="External"/><Relationship Id="rId86" Type="http://schemas.openxmlformats.org/officeDocument/2006/relationships/hyperlink" Target="https://www.google.com/maps/place/EXCELLENT+CLASSES/@22.5643916,72.944725,17z/data=!3m1!4b1!4m6!3m5!1s0x395e4f7e0fd598a9:0xd104e0617855c53c!8m2!3d22.5643916!4d72.944725!16s%2Fg%2F11s211x5gk?authuser=0&amp;hl=en&amp;entry=ttu&amp;g_ep=EgoyMDI2MDYyOS4wIKXMDSoASAFQAw%3D%3D" TargetMode="External"/><Relationship Id="rId85" Type="http://schemas.openxmlformats.org/officeDocument/2006/relationships/hyperlink" Target="https://www.google.com/maps/place/Pragati+Study+Center/@22.5554738,72.9504397,17z/data=!3m1!4b1!4m6!3m5!1s0x395e4e81153c7ddb:0xbf2d2fe1433744af!8m2!3d22.5554738!4d72.9504397!16s%2Fg%2F1264dl14h?authuser=0&amp;hl=en&amp;entry=ttu&amp;g_ep=EgoyMDI2MDYyOS4wIKXMDSoASAFQAw%3D%3D" TargetMode="External"/><Relationship Id="rId88" Type="http://schemas.openxmlformats.org/officeDocument/2006/relationships/hyperlink" Target="https://www.google.com/maps/place/Sterling+Physical+Therapy/@37.364656,-121.848104,17z/data=!3m1!4b1!4m6!3m5!1s0x808fcd044dbd827b:0x87b47eb5b6b006cb!8m2!3d37.364656!4d-121.848104!16s%2Fg%2F1ptwktn63?authuser=0&amp;hl=en&amp;entry=ttu&amp;g_ep=EgoyMDI2MDYyOS4wIKXMDSoASAFQAw%3D%3D" TargetMode="External"/><Relationship Id="rId150" Type="http://schemas.openxmlformats.org/officeDocument/2006/relationships/hyperlink" Target="https://www.google.com/maps/place/Transitional+Living+Cmntys/@36.168192,-115.1336327,17z/data=!3m1!4b1!4m6!3m5!1s0x80c8c373c3eaf491:0x3295debc0f1b1583!8m2!3d36.168192!4d-115.1336327!16s%2Fg%2F1260bxlxt?authuser=0&amp;hl=en&amp;entry=ttu&amp;g_ep=EgoyMDI2MDcwNi4wIKXMDSoASAFQAw%3D%3D" TargetMode="External"/><Relationship Id="rId87" Type="http://schemas.openxmlformats.org/officeDocument/2006/relationships/hyperlink" Target="https://www.google.com/maps/place/Golden+Hills+Professional+Center,+Bldg+2680,+%23152+1st+Fl/@37.3296936,-121.7971493,17z/data=!3m1!4b1!4m6!3m5!1s0x808e2d42c23be047:0xda8ffc1342832e9a!8m2!3d37.3296936!4d-121.7971493!16s%2Fg%2F11h_0nsp7d?authuser=0&amp;hl=en&amp;entry=ttu&amp;g_ep=EgoyMDI2MDYyOS4wIKXMDSoASAFQAw%3D%3D" TargetMode="External"/><Relationship Id="rId89" Type="http://schemas.openxmlformats.org/officeDocument/2006/relationships/hyperlink" Target="https://www.google.com/maps/place/Prime+Physical+Therapy/@37.2479969,-121.846542,17z/data=!3m1!4b1!4m6!3m5!1s0x808e31037811dbe5:0xf310fd3d0ed0844!8m2!3d37.2479969!4d-121.846542!16s%2Fg%2F11yyjp0kwj?authuser=0&amp;hl=en&amp;entry=ttu&amp;g_ep=EgoyMDI2MDYyOS4wIKXMDSoASAFQAw%3D%3D" TargetMode="External"/><Relationship Id="rId80" Type="http://schemas.openxmlformats.org/officeDocument/2006/relationships/hyperlink" Target="https://www.google.com/maps/place/GARV+TUTORIALS/@22.544828,72.972025,17z/data=!3m1!4b1!4m6!3m5!1s0x395e4dab03893847:0x5e6f2bea114ffe7a!8m2!3d22.544828!4d72.972025!16s%2Fg%2F11knmttvjp?authuser=0&amp;hl=en&amp;entry=ttu&amp;g_ep=EgoyMDI2MDYyOS4wIKXMDSoASAFQAw%3D%3D" TargetMode="External"/><Relationship Id="rId82" Type="http://schemas.openxmlformats.org/officeDocument/2006/relationships/hyperlink" Target="https://www.google.com/maps/place/Kanan+International/@22.5481777,72.9264473,17z/data=!3m1!4b1!4m6!3m5!1s0x395e4ddf60cb1e83:0x4cd50ff293bd85!8m2!3d22.5481777!4d72.9264473!16s%2Fg%2F1v6p2p61?authuser=0&amp;hl=en&amp;entry=ttu&amp;g_ep=EgoyMDI2MDYyOS4wIKXMDSoASAFQAw%3D%3D" TargetMode="External"/><Relationship Id="rId81" Type="http://schemas.openxmlformats.org/officeDocument/2006/relationships/hyperlink" Target="https://www.google.com/maps/place/Mindsprout+English+Classes/@22.5704694,72.9181046,17z/data=!3m1!4b1!4m6!3m5!1s0x395e4fcd8533ca5f:0xbd26eefa2f73a718!8m2!3d22.5704694!4d72.9181046!16s%2Fg%2F11v0z0phsr?authuser=0&amp;hl=en&amp;entry=ttu&amp;g_ep=EgoyMDI2MDYyOS4wIKXMDSoASAFQAw%3D%3D" TargetMode="External"/><Relationship Id="rId1" Type="http://schemas.openxmlformats.org/officeDocument/2006/relationships/hyperlink" Target="https://www.google.com/maps/place/Andrew+Dental+Clinic+San+Francisco/@37.7579658,-122.4509038,17z/data=!3m1!4b1!4m6!3m5!1s0x808f7d00739d28ed:0xc20431396a9aa072!8m2!3d37.7579658!4d-122.4509038!16s%2Fg%2F11x8_1s3t2?authuser=0&amp;hl=en&amp;entry=ttu&amp;g_ep=EgoyMDI2MDYyOS4wIKXMDSoASAFQAw%3D%3D" TargetMode="External"/><Relationship Id="rId2" Type="http://schemas.openxmlformats.org/officeDocument/2006/relationships/hyperlink" Target="https://www.google.com/maps/place/San+Francisco+Dental+Artistry/@37.79176,-122.402057,17z/data=!3m1!4b1!4m6!3m5!1s0x8085808a03158595:0x5f8044fd88d621c9!8m2!3d37.79176!4d-122.402057!16s%2Fg%2F1td9dz_x?authuser=0&amp;hl=en&amp;entry=ttu&amp;g_ep=EgoyMDI2MDYyOS4wIKXMDSoASAFQAw%3D%3D" TargetMode="External"/><Relationship Id="rId3" Type="http://schemas.openxmlformats.org/officeDocument/2006/relationships/hyperlink" Target="https://www.google.com/maps/place/FAMILY+DENTAL+AND+COSMETIC+CLINIC/@28.7941508,76.1209427,17z/data=!3m1!4b1!4m6!3m5!1s0x391261c537fe06c3:0x5c6b3d9428e2e449!8m2!3d28.7941508!4d76.1209427!16s%2Fg%2F11k14nprwt?authuser=0&amp;hl=en&amp;entry=ttu&amp;g_ep=EgoyMDI2MDYyOS4wIKXMDSoASAFQAw%3D%3D" TargetMode="External"/><Relationship Id="rId149" Type="http://schemas.openxmlformats.org/officeDocument/2006/relationships/hyperlink" Target="https://www.google.com/maps/place/Peoplefirst+Rehabilitation/@36.195005,-115.122845,17z/data=!3m1!4b1!4m6!3m5!1s0x80c8c31e1b608e7f:0xf1c253cf25d27b74!8m2!3d36.195005!4d-115.122845!16s%2Fg%2F1td9qt65?authuser=0&amp;hl=en&amp;entry=ttu&amp;g_ep=EgoyMDI2MDcwNi4wIKXMDSoASAFQAw%3D%3D" TargetMode="External"/><Relationship Id="rId4" Type="http://schemas.openxmlformats.org/officeDocument/2006/relationships/hyperlink" Target="https://www.google.com/maps/place/Shree+Ram+Clinic/@28.7935568,76.1289659,17z/data=!3m1!4b1!4m6!3m5!1s0x391267a62ff8286b:0x56a037c3e4638a48!8m2!3d28.7935568!4d76.1289659!16s%2Fg%2F11rvdd64s8?authuser=0&amp;hl=en&amp;entry=ttu&amp;g_ep=EgoyMDI2MDYyOS4wIKXMDSoASAFQAw%3D%3D" TargetMode="External"/><Relationship Id="rId148" Type="http://schemas.openxmlformats.org/officeDocument/2006/relationships/hyperlink" Target="https://www.google.com/maps/place/Jaget+David+DC/@36.2041066,-115.1177146,17z/data=!3m1!4b1!4m6!3m5!1s0x80c8c2dd875f8c45:0x253c12b639cf947e!8m2!3d36.2041066!4d-115.1177146!16s%2Fg%2F12609bw1y?authuser=0&amp;hl=en&amp;entry=ttu&amp;g_ep=EgoyMDI2MDcwNi4wIKXMDSoASAFQAw%3D%3D" TargetMode="External"/><Relationship Id="rId9" Type="http://schemas.openxmlformats.org/officeDocument/2006/relationships/hyperlink" Target="https://www.google.com/maps/place/Shri+Mata+Sheetla+Dental+Clinic+and+Implant+Center/@28.8018578,76.1427032,17z/data=!3m1!4b1!4m6!3m5!1s0x391266d00c170be3:0xd4e8cd55b5762018!8m2!3d28.8018578!4d76.1427032!16s%2Fg%2F11dxlcq2rj?authuser=0&amp;hl=en&amp;entry=ttu&amp;g_ep=EgoyMDI2MDYyOS4wIKXMDSoASAFQAw%3D%3D" TargetMode="External"/><Relationship Id="rId143" Type="http://schemas.openxmlformats.org/officeDocument/2006/relationships/hyperlink" Target="https://www.google.com/maps/place/Choudhary+Health+Care+Balotra/@25.8312314,72.244249,17z/data=!3m1!4b1!4m6!3m5!1s0x3943e94678c05c87:0xe62d1645b710e8d3!8m2!3d25.8312314!4d72.244249!16s%2Fg%2F11y4kvmnb7?authuser=0&amp;hl=en&amp;entry=ttu&amp;g_ep=EgoyMDI2MDcwNi4wIKXMDSoASAFQAw%3D%3D" TargetMode="External"/><Relationship Id="rId142" Type="http://schemas.openxmlformats.org/officeDocument/2006/relationships/hyperlink" Target="https://www.google.com/maps/place/Nasha+Mukti+Kendra+Jannat+seva+sansthan/@25.8365776,72.2600976,17z/data=!3m1!4b1!4m6!3m5!1s0x3943e96f7afa249b:0xdbc6d713dbd6778d!8m2!3d25.8365776!4d72.2600976!16s%2Fg%2F11vdqjdx5m?authuser=0&amp;hl=en&amp;entry=ttu&amp;g_ep=EgoyMDI2MDcwNi4wIKXMDSoASAFQAw%3D%3D" TargetMode="External"/><Relationship Id="rId141" Type="http://schemas.openxmlformats.org/officeDocument/2006/relationships/hyperlink" Target="https://www.google.com/maps/place/Vidhyasharam+Punarwas+Centar+Jasol/@25.8295219,72.2425051,17z/data=!3m1!4b1!4m6!3m5!1s0x3943e9ef8d311eed:0x291fe7fc8c0c1d61!8m2!3d25.8295219!4d72.2425051!16s%2Fg%2F11m5h9md_j?authuser=0&amp;hl=en&amp;entry=ttu&amp;g_ep=EgoyMDI2MDcwNi4wIKXMDSoASAFQAw%3D%3D" TargetMode="External"/><Relationship Id="rId140" Type="http://schemas.openxmlformats.org/officeDocument/2006/relationships/hyperlink" Target="https://www.google.com/maps/place/Dhwani+Speech+therapy+and+Hearing+centre/@25.1472044,73.0863964,17z/data=!3m1!4b1!4m6!3m5!1s0x3942ebbfc3148bf7:0xfd2f245da5eb4680!8m2!3d25.1472044!4d73.0863964!16s%2Fg%2F11w7_wq7wq?authuser=0&amp;hl=en&amp;entry=ttu&amp;g_ep=EgoyMDI2MDcwNi4wIKXMDSoASAFQAw%3D%3D" TargetMode="External"/><Relationship Id="rId5" Type="http://schemas.openxmlformats.org/officeDocument/2006/relationships/hyperlink" Target="https://www.google.com/maps/place/Sunil's+health+and+wellness+physiotherapy+clinic+bhiwani/@28.7844431,76.1521763,17z/data=!3m1!4b1!4m6!3m5!1s0x3912613318a5e6cf:0x73b76847e918b32d!8m2!3d28.7844431!4d76.1521763!16s%2Fg%2F11csqqkzg2?authuser=0&amp;hl=en&amp;entry=ttu&amp;g_ep=EgoyMDI2MDYyOS4wIKXMDSoASAFQAw%3D%3D" TargetMode="External"/><Relationship Id="rId147" Type="http://schemas.openxmlformats.org/officeDocument/2006/relationships/hyperlink" Target="https://www.google.com/maps/place/Dignity+Health+Medical+Group+Nevada+-+North+Las+Vegas+Clinic/@36.2402274,-115.1626995,17z/data=!3m1!4b1!4m6!3m5!1s0x80c8e9e0470130e5:0xc98361c4b0a9911d!8m2!3d36.2402274!4d-115.1626995!16s%2Fg%2F11vpl95x7q?authuser=0&amp;hl=en&amp;entry=ttu&amp;g_ep=EgoyMDI2MDcwNi4wIKXMDSoASAFQAw%3D%3D" TargetMode="External"/><Relationship Id="rId6" Type="http://schemas.openxmlformats.org/officeDocument/2006/relationships/hyperlink" Target="https://www.google.com/maps/place/Dr.+Vidya+Homeopathic+Clinic/@28.7998697,76.1434267,17z/data=!3m1!4b1!4m6!3m5!1s0x39126729828cad8d:0xeb115554a5c71562!8m2!3d28.7998697!4d76.1434267!16s%2Fg%2F11f2wps2sz?authuser=0&amp;hl=en&amp;entry=ttu&amp;g_ep=EgoyMDI2MDYyOS4wIKXMDSoASAFQAw%3D%3D" TargetMode="External"/><Relationship Id="rId146" Type="http://schemas.openxmlformats.org/officeDocument/2006/relationships/hyperlink" Target="https://www.google.com/maps/place/Bright+Mind+English+Medium+School+Balotra/@25.8471038,72.2412852,17z/data=!3m1!4b1!4m6!3m5!1s0x3943e8c9c28d0ee5:0xb512811d0e5161f!8m2!3d25.8471038!4d72.2438601!16s%2Fg%2F11dxb9pb_3?authuser=0&amp;hl=en&amp;entry=ttu&amp;g_ep=EgoyMDI2MDcwNi4wIKXMDSoASAFQAw%3D%3D" TargetMode="External"/><Relationship Id="rId7" Type="http://schemas.openxmlformats.org/officeDocument/2006/relationships/hyperlink" Target="https://www.google.com/maps/place/JJMB+HOSPITAL/@28.795475,76.1541796,17z/data=!3m1!4b1!4m6!3m5!1s0x391267001ed7504f:0x1bd2fc40c5f32788!8m2!3d28.795475!4d76.1541796!16s%2Fg%2F11y2yyq6x7?authuser=0&amp;hl=en&amp;entry=ttu&amp;g_ep=EgoyMDI2MDYyOS4wIKXMDSoASAFQAw%3D%3D" TargetMode="External"/><Relationship Id="rId145" Type="http://schemas.openxmlformats.org/officeDocument/2006/relationships/hyperlink" Target="https://www.google.com/maps/place/Modern+Star+English+Medium+School/@25.8356542,72.2420804,17z/data=!3m1!4b1!4m6!3m5!1s0x3943e8d1c007d7f1:0x250b40d4e6382a6e!8m2!3d25.8356542!4d72.2420804!16s%2Fg%2F11cp7hq9b8?authuser=0&amp;hl=en&amp;entry=ttu&amp;g_ep=EgoyMDI2MDcwNi4wIKXMDSoASAFQAw%3D%3D" TargetMode="External"/><Relationship Id="rId8" Type="http://schemas.openxmlformats.org/officeDocument/2006/relationships/hyperlink" Target="https://www.google.com/maps/place/Vaidik+Dental+%26+Aesthetic+Care/@28.8001522,76.1402756,17z/data=!3m1!4b1!4m6!3m5!1s0x3912677e9c8a4d2f:0x1c2490699599ab1!8m2!3d28.8001522!4d76.1402756!16s%2Fg%2F11jpx9cv92?authuser=0&amp;hl=en&amp;entry=ttu&amp;g_ep=EgoyMDI2MDYyOS4wIKXMDSoASAFQAw%3D%3D" TargetMode="External"/><Relationship Id="rId144" Type="http://schemas.openxmlformats.org/officeDocument/2006/relationships/hyperlink" Target="https://www.google.com/maps/place/Perfect+Solution+Coaching+classes/@25.8005582,72.2410874,17z/data=!3m1!4b1!4m6!3m5!1s0x3943e938d24a26e1:0xe8c9162929475dba!8m2!3d25.8005582!4d72.2410874!16s%2Fg%2F11s4v46ph1?authuser=0&amp;hl=en&amp;entry=ttu&amp;g_ep=EgoyMDI2MDcwNi4wIKXMDSoASAFQAw%3D%3D" TargetMode="External"/><Relationship Id="rId73" Type="http://schemas.openxmlformats.org/officeDocument/2006/relationships/hyperlink" Target="https://www.google.com/maps/place/HUDA+Hijama+Care/@22.5741909,72.9568204,17z/data=!3m1!4b1!4m6!3m5!1s0x395e4fbe04f5f25d:0x9ebb1afd27b81b73!8m2!3d22.5741909!4d72.9568204!16s%2Fg%2F11xgd8f19k?authuser=0&amp;hl=en&amp;entry=ttu&amp;g_ep=EgoyMDI2MDYyOS4wIKXMDSoASAFQAw%3D%3D" TargetMode="External"/><Relationship Id="rId72" Type="http://schemas.openxmlformats.org/officeDocument/2006/relationships/hyperlink" Target="https://www.google.com/maps/place/Anand+Occupational+Therapy+centre,+Dr.Deepak+Ganjiwale/@22.560935,72.9249985,17z/data=!3m1!4b1!4m6!3m5!1s0x395e5206ad979945:0x5e3e3bc543960156!8m2!3d22.560935!4d72.9249985!16s%2Fg%2F11dztrs2js?authuser=0&amp;hl=en&amp;entry=ttu&amp;g_ep=EgoyMDI2MDYyOS4wIKXMDSoASAFQAw%3D%3D" TargetMode="External"/><Relationship Id="rId75" Type="http://schemas.openxmlformats.org/officeDocument/2006/relationships/hyperlink" Target="https://www.google.com/maps/place/Kush+Child+Development+Centre/@22.6905127,72.868475,17z/data=!3m1!4b1!4m6!3m5!1s0x395e5bc017939039:0xd212e812ff956e06!8m2!3d22.6905127!4d72.868475!16s%2Fg%2F11ym1fwpfj?authuser=0&amp;hl=en&amp;entry=ttu&amp;g_ep=EgoyMDI2MDYyOS4wIKXMDSoASAFQAw%3D%3D" TargetMode="External"/><Relationship Id="rId74" Type="http://schemas.openxmlformats.org/officeDocument/2006/relationships/hyperlink" Target="https://www.google.com/maps/place/DR+NALIN+SHAH/@22.5632394,72.9515831,17z/data=!3m1!4b1!4m6!3m5!1s0x395e4fbddac44415:0x61e13a1b354bee1d!8m2!3d22.5632394!4d72.9515831!16s%2Fg%2F11jsjdlyql?authuser=0&amp;hl=en&amp;entry=ttu&amp;g_ep=EgoyMDI2MDYyOS4wIKXMDSoASAFQAw%3D%3D" TargetMode="External"/><Relationship Id="rId77" Type="http://schemas.openxmlformats.org/officeDocument/2006/relationships/hyperlink" Target="https://www.google.com/maps/place/Phenom+Housing/@22.1618508,71.9330906,8z/data=!3m1!4b1!4m6!3m5!1s0x395e4f680dad306b:0xbd5d11c26c0db405!8m2!3d22.1618508!4d71.9330906!16s%2Fg%2F11q1pdw_8x?authuser=0&amp;hl=en&amp;entry=ttu&amp;g_ep=EgoyMDI2MDYyOS4wIKXMDSoASAFQAw%3D%3D" TargetMode="External"/><Relationship Id="rId76" Type="http://schemas.openxmlformats.org/officeDocument/2006/relationships/hyperlink" Target="https://www.google.com/maps/place/Shree+Reelife+(Trading+%26+Healing+Center)/@22.6797165,72.8721699,17z/data=!3m1!4b1!4m6!3m5!1s0x395e5b4acbe8864f:0x778c6e7d6dbccc99!8m2!3d22.6797165!4d72.8721699!16s%2Fg%2F11t7vjftb0?authuser=0&amp;hl=en&amp;entry=ttu&amp;g_ep=EgoyMDI2MDYyOS4wIKXMDSoASAFQAw%3D%3D" TargetMode="External"/><Relationship Id="rId79" Type="http://schemas.openxmlformats.org/officeDocument/2006/relationships/hyperlink" Target="https://www.google.com/maps/place/World+Masters/@22.5542713,72.9290625,17z/data=!3m1!4b1!4m6!3m5!1s0x395e4fd7a4211cdb:0x7a097895485b82c8!8m2!3d22.5542713!4d72.9290625!16s%2Fg%2F11j1bgcgqv?authuser=0&amp;hl=en&amp;entry=ttu&amp;g_ep=EgoyMDI2MDYyOS4wIKXMDSoASAFQAw%3D%3D" TargetMode="External"/><Relationship Id="rId78" Type="http://schemas.openxmlformats.org/officeDocument/2006/relationships/hyperlink" Target="https://www.google.com/maps/place/Awesome+Institute+For+Language/@22.5571948,72.9547196,17z/data=!3m1!4b1!4m6!3m5!1s0x395e4e8380e135df:0x4d88100e0799d6f!8m2!3d22.5571948!4d72.9547196!16s%2Fg%2F11gdrdlk92?authuser=0&amp;hl=en&amp;entry=ttu&amp;g_ep=EgoyMDI2MDYyOS4wIKXMDSoASAFQAw%3D%3D" TargetMode="External"/><Relationship Id="rId71" Type="http://schemas.openxmlformats.org/officeDocument/2006/relationships/hyperlink" Target="https://www.google.com/maps/place/Nishaansh+pediatric+rehabilitation+speech+therapy+centre/@22.561794,72.9228433,17z/data=!3m1!4b1!4m6!3m5!1s0x395e4fc8021f7b6d:0xe045b7c0c9d27fc!8m2!3d22.561794!4d72.9228433!16s%2Fg%2F11ys06831w?authuser=0&amp;hl=en&amp;entry=ttu&amp;g_ep=EgoyMDI2MDYyOS4wIKXMDSoASAFQAw%3D%3D" TargetMode="External"/><Relationship Id="rId70" Type="http://schemas.openxmlformats.org/officeDocument/2006/relationships/hyperlink" Target="https://www.google.com/maps/place/Kundan+Massage+therapy+Center/@22.5430444,72.9031173,17z/data=!3m1!4b1!4m6!3m5!1s0x395e4d536539b0cb:0x84c54fc9fce6d964!8m2!3d22.5430444!4d72.9031173!16s%2Fg%2F11vlk0ncg9?authuser=0&amp;hl=en&amp;entry=ttu&amp;g_ep=EgoyMDI2MDYyOS4wIKXMDSoASAFQAw%3D%3D" TargetMode="External"/><Relationship Id="rId139" Type="http://schemas.openxmlformats.org/officeDocument/2006/relationships/hyperlink" Target="https://www.google.com/maps/place/MAHAVIR+SONOGRAPHY+CENTRE+BALOTRA/@25.8318882,72.2432125,17z/data=!3m1!4b1!4m6!3m5!1s0x3943e9048876f7e7:0xa807bd55781bef65!8m2!3d25.8318882!4d72.2432125!16s%2Fg%2F11vjtwspqr?authuser=0&amp;hl=en&amp;entry=ttu&amp;g_ep=EgoyMDI2MDcwNi4wIKXMDSoASAFQAw%3D%3D" TargetMode="External"/><Relationship Id="rId138" Type="http://schemas.openxmlformats.org/officeDocument/2006/relationships/hyperlink" Target="https://www.google.com/maps/place/Rajasthan+Speech+Therapy+%26+Audiology+Clinic+(Unit-2)/@26.2664937,73.0078438,17z/data=!3m1!4b1!4m6!3m5!1s0x39418d0fe35a696f:0x30aa164154c512f9!8m2!3d26.2664937!4d73.0078438!16s%2Fg%2F11h3qqbj8r?authuser=0&amp;hl=en&amp;entry=ttu&amp;g_ep=EgoyMDI2MDcwNi4wIKXMDSoASAFQAw%3D%3D" TargetMode="External"/><Relationship Id="rId137" Type="http://schemas.openxmlformats.org/officeDocument/2006/relationships/hyperlink" Target="https://www.google.com/maps/place/JAKHAR+SPEECH+THERAPY+CENTRE+NAGAUR/@27.1904314,73.7333544,17z/data=!3m1!4b1!4m6!3m5!1s0x396a915ee11bb0ff:0xb602cb4de1302fe4!8m2!3d27.1904314!4d73.7333544!16s%2Fg%2F11w7k2r2yp?authuser=0&amp;hl=en&amp;entry=ttu&amp;g_ep=EgoyMDI2MDcwNi4wIKXMDSoASAFQAw%3D%3D" TargetMode="External"/><Relationship Id="rId132" Type="http://schemas.openxmlformats.org/officeDocument/2006/relationships/hyperlink" Target="https://www.google.com/maps/place/Rajasthan+Speech+Therapy+%26+Audiology+Clinic/@26.2796892,73.0043087,17z/data=!3m1!4b1!4m6!3m5!1s0x39418c3cf6fe1a15:0x8baa2b85cc9ea2c0!8m2!3d26.2796892!4d73.0043087!16s%2Fg%2F11b6bhw10w?authuser=0&amp;hl=en&amp;entry=ttu&amp;g_ep=EgoyMDI2MDcwNi4wIKXMDSoASAFQAw%3D%3D" TargetMode="External"/><Relationship Id="rId131" Type="http://schemas.openxmlformats.org/officeDocument/2006/relationships/hyperlink" Target="https://www.google.com/maps/place/Dr+Ashok+patel+MS+ORTHOPAEDICS+(%E0%A4%B9%E0%A4%A1%E0%A5%8D%E0%A4%A1%E0%A5%80+%E0%A4%8F%E0%A4%B5%E0%A4%82+%E0%A4%9C%E0%A5%8B%E0%A4%A1%E0%A4%BC+%E0%A4%B0%E0%A5%8B%E0%A4%97+%E0%A4%B5%E0%A4%BF%E0%A4%B6%E0%A5%87%E0%A4%B7%E0%A4%9C%E0%A5%8D%E0%A4%9E+)/@25.8304174,72.2613412,17z/data=!3m1!4b1!4m6!3m5!1s0x3943e937ad7152ab:0x5d62d1d5eac6803e!8m2!3d25.8304174!4d72.2613412!16s%2Fg%2F11ltr_t6k0?authuser=0&amp;hl=en&amp;entry=ttu&amp;g_ep=EgoyMDI2MDcwNi4wIKXMDSoASAFQAw%3D%3D" TargetMode="External"/><Relationship Id="rId130" Type="http://schemas.openxmlformats.org/officeDocument/2006/relationships/hyperlink" Target="https://www.google.com/maps/place/Dr+Sandeep+bishnoi+MBBS+MS+Orthopaedic/@25.8318987,72.2430227,17z/data=!3m1!4b1!4m6!3m5!1s0x3943e9133f22c707:0x95b2c59636849389!8m2!3d25.8318987!4d72.2430227!16s%2Fg%2F11x193d6zv?authuser=0&amp;hl=en&amp;entry=ttu&amp;g_ep=EgoyMDI2MDcwNi4wIKXMDSoASAFQAw%3D%3D" TargetMode="External"/><Relationship Id="rId136" Type="http://schemas.openxmlformats.org/officeDocument/2006/relationships/hyperlink" Target="https://www.google.com/maps/place/Speech+Therapy+Center/@27.9949571,73.3065434,17z/data=!3m1!4b1!4m6!3m5!1s0x393fe70f8f39d1fb:0x4ca3ebc1046a2641!8m2!3d27.9949571!4d73.3065434!16s%2Fg%2F11y9b8495v?authuser=0&amp;hl=en&amp;entry=ttu&amp;g_ep=EgoyMDI2MDcwNi4wIKXMDSoASAFQAw%3D%3D" TargetMode="External"/><Relationship Id="rId135" Type="http://schemas.openxmlformats.org/officeDocument/2006/relationships/hyperlink" Target="https://www.google.com/maps/place/Sarswat+Multispeciality+Clinic+%26+Rehabilitation+Centre/@29.9211276,73.891131,17z/data=!3m1!4b1!4m6!3m5!1s0x3917b534e0a3b443:0xf37be3663057c62d!8m2!3d29.9211276!4d73.891131!16s%2Fg%2F11g1mhmfwl?authuser=0&amp;hl=en&amp;entry=ttu&amp;g_ep=EgoyMDI2MDcwNi4wIKXMDSoASAFQAw%3D%3D" TargetMode="External"/><Relationship Id="rId134" Type="http://schemas.openxmlformats.org/officeDocument/2006/relationships/hyperlink" Target="https://www.google.com/maps/place/Speech+Therapy+%26+aural+language+therapy+centre/@25.3489,74.660907,17z/data=!3m1!4b1!4m6!3m5!1s0x3968c33c23183113:0xb2508cab4a4337cf!8m2!3d25.3489!4d74.660907!16s%2Fg%2F11vkj9brgn?authuser=0&amp;hl=en&amp;entry=ttu&amp;g_ep=EgoyMDI2MDcwNi4wIKXMDSoASAFQAw%3D%3D" TargetMode="External"/><Relationship Id="rId133" Type="http://schemas.openxmlformats.org/officeDocument/2006/relationships/hyperlink" Target="https://www.google.com/maps/place/Speech+Rehab/@25.1727864,75.8716642,17z/data=!3m1!4b1!4m6!3m5!1s0x396f9be60fe3e6e1:0xbe2e92d230a4a4cb!8m2!3d25.1727864!4d75.8716642!16s%2Fg%2F11kw10b_cm?authuser=0&amp;hl=en&amp;entry=ttu&amp;g_ep=EgoyMDI2MDcwNi4wIKXMDSoASAFQAw%3D%3D" TargetMode="External"/><Relationship Id="rId62" Type="http://schemas.openxmlformats.org/officeDocument/2006/relationships/hyperlink" Target="https://www.google.com/maps/place/SHREE+MATERNITY+%26+NURSING+HOME/@22.5546456,72.9675197,17z/data=!3m1!4b1!4m6!3m5!1s0x395e4e9fb9c48221:0xc962393ffa33bca8!8m2!3d22.5546456!4d72.9675197!16s%2Fg%2F11csq2n1rk?authuser=0&amp;hl=en&amp;entry=ttu&amp;g_ep=EgoyMDI2MDYyOS4wIKXMDSoASAFQAw%3D%3D" TargetMode="External"/><Relationship Id="rId61" Type="http://schemas.openxmlformats.org/officeDocument/2006/relationships/hyperlink" Target="https://www.google.com/maps/place/FMI+Integrative+Behavioral+Health+%26+Longevity+Medicine,+PC/@33.9457997,-118.3826754,17z/data=!3m1!4b1!4m6!3m5!1s0x80c2b7d029daebc7:0xd3a8c418660b57a4!8m2!3d33.9457997!4d-118.3826754!16s%2Fg%2F11zbq9fzm9?authuser=0&amp;hl=en&amp;entry=ttu&amp;g_ep=EgoyMDI2MDYyOS4wIKXMDSoASAFQAw%3D%3D" TargetMode="External"/><Relationship Id="rId64" Type="http://schemas.openxmlformats.org/officeDocument/2006/relationships/hyperlink" Target="https://www.google.com/maps/place/Anand+Maternity+%26+Nursing+Home/@23.2440774,72.6495546,17z/data=!3m1!4b1!4m6!3m5!1s0x395c2b901dee84b7:0x253c544fa39449b!8m2!3d23.2440774!4d72.6495546!16s%2Fg%2F1ptvsm_73?authuser=0&amp;hl=en&amp;entry=ttu&amp;g_ep=EgoyMDI2MDYyOS4wIKXMDSoASAFQAw%3D%3D" TargetMode="External"/><Relationship Id="rId63" Type="http://schemas.openxmlformats.org/officeDocument/2006/relationships/hyperlink" Target="https://www.google.com/maps/place/Anand+Medical+Nursing+Home+Dr.+Jayesh+Shah/@22.3014875,73.2298786,17z/data=!3m1!4b1!4m6!3m5!1s0x395fc8acd8cf46b9:0x84d39b834bed28a5!8m2!3d22.3014875!4d73.2298786!16s%2Fg%2F1tknz5pf?authuser=0&amp;hl=en&amp;entry=ttu&amp;g_ep=EgoyMDI2MDYyOS4wIKXMDSoASAFQAw%3D%3D" TargetMode="External"/><Relationship Id="rId66" Type="http://schemas.openxmlformats.org/officeDocument/2006/relationships/hyperlink" Target="https://www.google.com/maps/place/Aatman+Care-+Pain+Management,+Palliative+Care,+Psychiatry+and+De-addiction+Clinic+in+Vadodara/@22.3074188,73.175094,17z/data=!3m1!4b1!4m6!3m5!1s0x395fc9b57242a527:0x4fcd104d7c39bdaf!8m2!3d22.3074188!4d73.175094!16s%2Fg%2F11vbsdg11c?authuser=0&amp;hl=en&amp;entry=ttu&amp;g_ep=EgoyMDI2MDYyOS4wIKXMDSoASAFQAw%3D%3D" TargetMode="External"/><Relationship Id="rId172" Type="http://schemas.openxmlformats.org/officeDocument/2006/relationships/hyperlink" Target="https://www.google.com/maps/place/Lakshya+Tuition+Classes/@22.5683274,72.9524184,17z/data=!3m1!4b1!4m6!3m5!1s0x395e4f29e37a4541:0xb34909de40cca922!8m2!3d22.5683274!4d72.9524184!16s%2Fg%2F11lfzptq72?authuser=0&amp;hl=en&amp;entry=ttu&amp;g_ep=EgoyMDI2MDcwNy4wIKXMDSoASAFQAw%3D%3D" TargetMode="External"/><Relationship Id="rId65" Type="http://schemas.openxmlformats.org/officeDocument/2006/relationships/hyperlink" Target="https://www.google.com/maps/place/AREVA+-+CENTRE+FOR+PAIN+MANAGEMENT+%26+DENTAL+CARE/@22.565449,72.9448697,17z/data=!3m1!4b1!4m6!3m5!1s0x395e4f0cf08d914f:0x2b05e84137c5f747!8m2!3d22.565449!4d72.9448697!16s%2Fg%2F11ywy5k0_2?authuser=0&amp;hl=en&amp;entry=ttu&amp;g_ep=EgoyMDI2MDYyOS4wIKXMDSoASAFQAw%3D%3D" TargetMode="External"/><Relationship Id="rId171" Type="http://schemas.openxmlformats.org/officeDocument/2006/relationships/hyperlink" Target="https://www.google.com/maps/place/MARUTI+TUITION+CLASSES/@22.5560123,72.9502457,17z/data=!3m1!4b1!4m6!3m5!1s0x395e4f3a5951079b:0xf624ec0cc8f955ba!8m2!3d22.5560123!4d72.9502457!16s%2Fg%2F11xfh9986f?authuser=0&amp;hl=en&amp;entry=ttu&amp;g_ep=EgoyMDI2MDcwNy4wIKXMDSoASAFQAw%3D%3D" TargetMode="External"/><Relationship Id="rId68" Type="http://schemas.openxmlformats.org/officeDocument/2006/relationships/hyperlink" Target="https://www.google.com/maps/place/URJA+ACUPRESSURE+CENTER/@22.5434054,72.9227668,17z/data=!3m1!4b1!4m6!3m5!1s0x395e4f91848271ab:0xf3818cc5d5c2e8cd!8m2!3d22.5434054!4d72.9227668!16s%2Fg%2F11g1hjs_ym?authuser=0&amp;hl=en&amp;entry=ttu&amp;g_ep=EgoyMDI2MDYyOS4wIKXMDSoASAFQAw%3D%3D" TargetMode="External"/><Relationship Id="rId170" Type="http://schemas.openxmlformats.org/officeDocument/2006/relationships/hyperlink" Target="https://www.google.com/maps/place/Achievers+Academy+-+Best+Coaching+Center+in+Anand+%7C+Best+Tuition+Classes+in+Anand+%7C+Tuition+for+Class+1+to+10th/@22.5676068,72.9431571,17z/data=!3m1!4b1!4m6!3m5!1s0x395e4f29f519e76d:0x1b2558c115ee9353!8m2!3d22.5676068!4d72.9431571!16s%2Fg%2F11krh469nj?authuser=0&amp;hl=en&amp;entry=ttu&amp;g_ep=EgoyMDI2MDcwNy4wIKXMDSoASAFQAw%3D%3D" TargetMode="External"/><Relationship Id="rId67" Type="http://schemas.openxmlformats.org/officeDocument/2006/relationships/hyperlink" Target="https://www.google.com/maps/place/Dr+Rahul+Parmar/@22.5649119,72.9487517,17z/data=!3m1!4b1!4m6!3m5!1s0x395e4fd6c0afdc49:0xf5752bb2d0f4638!8m2!3d22.5649119!4d72.9487517!16s%2Fg%2F11rbkv8qj2?authuser=0&amp;hl=en&amp;entry=ttu&amp;g_ep=EgoyMDI2MDYyOS4wIKXMDSoASAFQAw%3D%3D" TargetMode="External"/><Relationship Id="rId60" Type="http://schemas.openxmlformats.org/officeDocument/2006/relationships/hyperlink" Target="https://www.google.com/maps/place/Behavioral+Medicine+Services+Department/@34.0491807,-118.2172693,17z/data=!3m1!4b1!4m6!3m5!1s0x80c2c6127fa3b77b:0x9825d28e92976bf5!8m2!3d34.0491807!4d-118.2172693!16s%2Fg%2F1v6l7rvc?authuser=0&amp;hl=en&amp;entry=ttu&amp;g_ep=EgoyMDI2MDYyOS4wIKXMDSoASAFQAw%3D%3D" TargetMode="External"/><Relationship Id="rId165" Type="http://schemas.openxmlformats.org/officeDocument/2006/relationships/hyperlink" Target="https://www.google.com/maps/place/NIRAV+institute+of+mathematics+%26+science+(+Best+CBSE+coaching+institute+in+anand+for+class+8+to+12+,+NCERT+%2F+IIT+JEE+%2F+NEET/@22.5504879,72.934346,17z/data=!3m1!4b1!4m6!3m5!1s0x395e4fcdf000aac1:0x7f9425188ed538d4!8m2!3d22.5504879!4d72.934346!16s%2Fg%2F11sfr1svbx?authuser=0&amp;hl=en&amp;entry=ttu&amp;g_ep=EgoyMDI2MDcwNy4wIKXMDSoASAFQAw%3D%3D" TargetMode="External"/><Relationship Id="rId69" Type="http://schemas.openxmlformats.org/officeDocument/2006/relationships/hyperlink" Target="https://www.google.com/maps/place/Dr.+Milan+Mehta/@23.0584298,72.517709,17z/data=!3m1!4b1!4m6!3m5!1s0x395e9ca9a56f70cb:0x9eb625e707e3e1c!8m2!3d23.0584298!4d72.517709!16s%2Fg%2F11gd1wstf7?authuser=0&amp;hl=en&amp;entry=ttu&amp;g_ep=EgoyMDI2MDYyOS4wIKXMDSoASAFQAw%3D%3D" TargetMode="External"/><Relationship Id="rId164" Type="http://schemas.openxmlformats.org/officeDocument/2006/relationships/hyperlink" Target="https://www.google.com/maps/place/R.K.+Tuition+Classes/@22.5448767,72.9101132,17z/data=!3m1!4b1!4m6!3m5!1s0x395e4f0c8844f9b7:0xcb46f84b8a503a47!8m2!3d22.5448767!4d72.9101132!16s%2Fg%2F11q83ss8z7?authuser=0&amp;hl=en&amp;entry=ttu&amp;g_ep=EgoyMDI2MDcwNy4wIKXMDSoASAFQAw%3D%3D" TargetMode="External"/><Relationship Id="rId163" Type="http://schemas.openxmlformats.org/officeDocument/2006/relationships/hyperlink" Target="https://www.google.com/maps/place/Divine+Tuition+Classes/@22.5511329,72.9517012,17z/data=!3m1!4b1!4m6!3m5!1s0x395e4c2a0731b035:0x6c4df931d10756cc!8m2!3d22.5511329!4d72.9517012!16s%2Fg%2F11cmmx60c2?authuser=0&amp;hl=en&amp;entry=ttu&amp;g_ep=EgoyMDI2MDcwNy4wIKXMDSoASAFQAw%3D%3D" TargetMode="External"/><Relationship Id="rId162" Type="http://schemas.openxmlformats.org/officeDocument/2006/relationships/hyperlink" Target="https://www.google.com/maps/place/Kids+house+Play+group+n+nursery/@22.4199224,72.7573245,17z/data=!3m1!4b1!4m6!3m5!1s0x395e4b5e8ccb43c5:0xc5ae9a2b164c5db6!8m2!3d22.4199224!4d72.7573245!16s%2Fg%2F11fwbt4z_2?authuser=0&amp;hl=en&amp;entry=ttu&amp;g_ep=EgoyMDI2MDcwNy4wIKXMDSoASAFQAw%3D%3D" TargetMode="External"/><Relationship Id="rId169" Type="http://schemas.openxmlformats.org/officeDocument/2006/relationships/hyperlink" Target="https://www.google.com/maps/place/Bright+Tuition+Classes/@22.5533595,72.9287905,17z/data=!3m1!4b1!4m6!3m5!1s0x395e4e76a3ce9da3:0x953414eeb5e49263!8m2!3d22.5533595!4d72.9287905!16s%2Fg%2F113gs4819?authuser=0&amp;hl=en&amp;entry=ttu&amp;g_ep=EgoyMDI2MDcwNy4wIKXMDSoASAFQAw%3D%3D" TargetMode="External"/><Relationship Id="rId168" Type="http://schemas.openxmlformats.org/officeDocument/2006/relationships/hyperlink" Target="https://www.google.com/maps/place/Gurukul+Academy/@22.5480522,72.9196924,17z/data=!3m1!4b1!4m6!3m5!1s0x395e4f2e2e16116f:0xc760f0618b0ab7f4!8m2!3d22.5480522!4d72.9196924!16s%2Fg%2F11mhffcx0q?authuser=0&amp;hl=en&amp;entry=ttu&amp;g_ep=EgoyMDI2MDcwNy4wIKXMDSoASAFQAw%3D%3D" TargetMode="External"/><Relationship Id="rId167" Type="http://schemas.openxmlformats.org/officeDocument/2006/relationships/hyperlink" Target="https://www.google.com/maps/place/Akshar+Academy/@22.553237,72.9433932,17z/data=!3m1!4b1!4m6!3m5!1s0x395e4f17788982ab:0xc99b5ca8a63d8069!8m2!3d22.553237!4d72.9433932!16s%2Fg%2F11g4fhx5r8?authuser=0&amp;hl=en&amp;entry=ttu&amp;g_ep=EgoyMDI2MDcwNy4wIKXMDSoASAFQAw%3D%3D" TargetMode="External"/><Relationship Id="rId166" Type="http://schemas.openxmlformats.org/officeDocument/2006/relationships/hyperlink" Target="https://www.google.com/maps/place/Vector+Education+-Tuition+Classes+VVNagar/@22.5496456,72.9288146,17z/data=!3m1!4b1!4m6!3m5!1s0x395e4f6525929b69:0x375116a3c0391039!8m2!3d22.5496456!4d72.9288146!16s%2Fg%2F11gr5xzq6q?authuser=0&amp;hl=en&amp;entry=ttu&amp;g_ep=EgoyMDI2MDcwNy4wIKXMDSoASAFQAw%3D%3D" TargetMode="External"/><Relationship Id="rId51" Type="http://schemas.openxmlformats.org/officeDocument/2006/relationships/hyperlink" Target="https://www.google.com/maps/place/Dr.SK+DermaCare,+Balotra/@25.8241719,72.2447554,17z/data=!3m1!4b1!4m6!3m5!1s0x3943e9005787ad0f:0xd050bb50ace45c81!8m2!3d25.8241719!4d72.2447554!16s%2Fg%2F11yb1hlgsl?authuser=0&amp;hl=en&amp;entry=ttu&amp;g_ep=EgoyMDI2MDYyOS4wIKXMDSoASAFQAw%3D%3D" TargetMode="External"/><Relationship Id="rId50" Type="http://schemas.openxmlformats.org/officeDocument/2006/relationships/hyperlink" Target="https://www.google.com/maps/place/Dr.Ramniwas+(+Skin+and+Vd)/@25.8313609,72.2443436,17z/data=!3m1!4b1!4m6!3m5!1s0x3943e9003fae2773:0x5593f590e5522ae5!8m2!3d25.8313609!4d72.2443436!16s%2Fg%2F11w39_szp2?authuser=0&amp;hl=en&amp;entry=ttu&amp;g_ep=EgoyMDI2MDYyOS4wIKXMDSoASAFQAw%3D%3D" TargetMode="External"/><Relationship Id="rId53" Type="http://schemas.openxmlformats.org/officeDocument/2006/relationships/hyperlink" Target="https://www.google.com/maps/place/Cut+N+Crease+luxe+international+ladies+salon/@25.8299483,72.2436028,17z/data=!3m1!4b1!4m6!3m5!1s0x3943e90b86bce715:0xc3dc19d419fc1663!8m2!3d25.8299483!4d72.2436028!16s%2Fg%2F11f8mgs5dx?authuser=0&amp;hl=en&amp;entry=ttu&amp;g_ep=EgoyMDI2MDYyOS4wIKXMDSoASAFQAw%3D%3D" TargetMode="External"/><Relationship Id="rId52" Type="http://schemas.openxmlformats.org/officeDocument/2006/relationships/hyperlink" Target="https://www.google.com/maps/place/Nakhrali+Beauty+Studio/@25.8329866,72.2394566,17z/data=!3m1!4b1!4m6!3m5!1s0x3943e956cae68bc7:0x6df81d71a648953e!8m2!3d25.8329866!4d72.2394566!16s%2Fg%2F11k39ygmcc?authuser=0&amp;hl=en&amp;entry=ttu&amp;g_ep=EgoyMDI2MDYyOS4wIKXMDSoASAFQAw%3D%3D" TargetMode="External"/><Relationship Id="rId55" Type="http://schemas.openxmlformats.org/officeDocument/2006/relationships/hyperlink" Target="https://www.google.com/maps/place/Make-up+By+komal+Singhal,+komal+beauty+parlour/@25.8303025,72.2394526,13z/data=!3m1!4b1!4m6!3m5!1s0x3943efaa800ffd81:0x939a7c1a4b10168b!8m2!3d25.8303025!4d72.2394526!16s%2Fg%2F11r_wk0vky?authuser=0&amp;hl=en&amp;entry=ttu&amp;g_ep=EgoyMDI2MDYyOS4wIKXMDSoASAFQAw%3D%3D" TargetMode="External"/><Relationship Id="rId161" Type="http://schemas.openxmlformats.org/officeDocument/2006/relationships/hyperlink" Target="https://www.google.com/maps/place/ANAND+INTERNATIONAL+SCHOOL-MOGAR%5BANAND%5D/@22.5274696,73.0078055,17z/data=!3m1!4b1!4m6!3m5!1s0x395e4b919c665989:0x17acf54e9be4bdd9!8m2!3d22.5274696!4d73.0078055!16s%2Fg%2F11c76qd81_?authuser=0&amp;hl=en&amp;entry=ttu&amp;g_ep=EgoyMDI2MDcwNy4wIKXMDSoASAFQAw%3D%3D" TargetMode="External"/><Relationship Id="rId54" Type="http://schemas.openxmlformats.org/officeDocument/2006/relationships/hyperlink" Target="https://www.google.com/maps/place/Royal+Majestic+Beauty+Parlour/@25.8276286,72.2448757,17z/data=!3m1!4b1!4m6!3m5!1s0x3943e9c1e6345fed:0xa94349222581d4d9!8m2!3d25.8276286!4d72.2448757!16s%2Fg%2F11tfkk3m4c?authuser=0&amp;hl=en&amp;entry=ttu&amp;g_ep=EgoyMDI2MDYyOS4wIKXMDSoASAFQAw%3D%3D" TargetMode="External"/><Relationship Id="rId160" Type="http://schemas.openxmlformats.org/officeDocument/2006/relationships/hyperlink" Target="https://www.google.com/maps/place/Kids+Wonder+World+-+Pre-primary+School+With+Drawing+,+Keyboard+,+Guitar+And+Abacus+Classes/@22.5709143,73.0024391,17z/data=!3m1!4b1!4m6!3m5!1s0x395e49f042e4814b:0x7c324a93d6e8388c!8m2!3d22.5709143!4d73.0024391!16s%2Fg%2F11j2k94nwq?authuser=0&amp;hl=en&amp;entry=ttu&amp;g_ep=EgoyMDI2MDcwNy4wIKXMDSoASAFQAw%3D%3D" TargetMode="External"/><Relationship Id="rId57" Type="http://schemas.openxmlformats.org/officeDocument/2006/relationships/hyperlink" Target="https://www.google.com/maps/place/Mental+Health+%26+Medication+Assisted,+Center/@34.0622434,-118.3208621,17z/data=!3m1!4b1!4m6!3m5!1s0x80c2b97b9676cac5:0x3e6d72b3fdac13fd!8m2!3d34.0622434!4d-118.3208621!16s%2Fg%2F11lnj4zvzt?authuser=0&amp;hl=en&amp;entry=ttu&amp;g_ep=EgoyMDI2MDYyOS4wIKXMDSoASAFQAw%3D%3D" TargetMode="External"/><Relationship Id="rId56" Type="http://schemas.openxmlformats.org/officeDocument/2006/relationships/hyperlink" Target="https://www.google.com/maps/place/HERBALIFE+BALOTRA+NUTRITION+CENTRE/@25.8316038,72.2428389,17z/data=!3m1!4b1!4m6!3m5!1s0x3943e8d13aebcf31:0x5b71e58695b8ee26!8m2!3d25.8316038!4d72.2428389!16s%2Fg%2F11hz5_0s_8?authuser=0&amp;hl=en&amp;entry=ttu&amp;g_ep=EgoyMDI2MDYyOS4wIKXMDSoASAFQAw%3D%3D" TargetMode="External"/><Relationship Id="rId159" Type="http://schemas.openxmlformats.org/officeDocument/2006/relationships/hyperlink" Target="https://www.google.com/maps/place/NARAYAN+NIKETAN+SCHOOL+(Juniors+DEN)+-+ANAND/@22.5523763,72.9290803,17z/data=!3m1!4b1!4m6!3m5!1s0x395e4e810faae905:0x7d60fec8fc5506d0!8m2!3d22.5523763!4d72.9290803!16s%2Fg%2F119w9g0rt?authuser=0&amp;hl=en&amp;entry=ttu&amp;g_ep=EgoyMDI2MDcwNy4wIKXMDSoASAFQAw%3D%3D" TargetMode="External"/><Relationship Id="rId59" Type="http://schemas.openxmlformats.org/officeDocument/2006/relationships/hyperlink" Target="https://www.google.com/maps/place/lemona+behavioral+health+center+24%2F7+help/@34.2301413,-118.4595413,17z/data=!3m1!4b1!4m6!3m5!1s0x80c291fb3feec2bf:0xfd12807fdf98b4d3!8m2!3d34.2301413!4d-118.4595413!16s%2Fg%2F11ymqd7vx_?authuser=0&amp;hl=en&amp;entry=ttu&amp;g_ep=EgoyMDI2MDYyOS4wIKXMDSoASAFQAw%3D%3D" TargetMode="External"/><Relationship Id="rId154" Type="http://schemas.openxmlformats.org/officeDocument/2006/relationships/hyperlink" Target="https://www.google.com/maps/place/Little+Millennium+Preschool+-+Anand/@22.5398635,72.9522626,17z/data=!3m1!4b1!4m6!3m5!1s0x395e4d32a512145f:0x7b5f175b769c2d6d!8m2!3d22.5398635!4d72.9522626!16s%2Fg%2F11fs5mzdzw?authuser=0&amp;hl=en&amp;entry=ttu&amp;g_ep=EgoyMDI2MDcwNy4wIKXMDSoASAFQAw%3D%3D" TargetMode="External"/><Relationship Id="rId58" Type="http://schemas.openxmlformats.org/officeDocument/2006/relationships/hyperlink" Target="https://www.google.com/maps/place/New+U+Therapy+Center+%26+Family+Services/@34.0622434,-118.3208621,17z/data=!3m1!4b1!4m6!3m5!1s0x8824d70470299ea5:0xb5241ecb8ac93bfb!8m2!3d34.0622434!4d-118.3208621!16s%2Fg%2F11vdjkrdjj?authuser=0&amp;hl=en&amp;entry=ttu&amp;g_ep=EgoyMDI2MDYyOS4wIKXMDSoASAFQAw%3D%3D" TargetMode="External"/><Relationship Id="rId153" Type="http://schemas.openxmlformats.org/officeDocument/2006/relationships/hyperlink" Target="https://www.google.com/maps/place/The+Wonderkids+Preschool+%26+Daycare+-+AV+Road+Anand/@22.5530078,72.9407723,17z/data=!3m1!4b1!4m6!3m5!1s0x395e4ff5f8d87b71:0x2ac73108d87eeed3!8m2!3d22.5530078!4d72.9407723!16s%2Fg%2F11j3xcbhb4?authuser=0&amp;hl=en&amp;entry=ttu&amp;g_ep=EgoyMDI2MDcwNy4wIKXMDSoASAFQAw%3D%3D" TargetMode="External"/><Relationship Id="rId152" Type="http://schemas.openxmlformats.org/officeDocument/2006/relationships/hyperlink" Target="https://www.google.com/maps/place/Divine+Feet+Preschool+and+Daycare+anand/@22.5447705,72.943614,17z/data=!3m1!4b1!4m6!3m5!1s0x395e4f64f3a99755:0x6fbd7e06e4ad908!8m2!3d22.5447705!4d72.943614!16s%2Fg%2F11f658t67b?authuser=0&amp;hl=en&amp;entry=ttu&amp;g_ep=EgoyMDI2MDcwNy4wIKXMDSoASAFQAw%3D%3D" TargetMode="External"/><Relationship Id="rId151" Type="http://schemas.openxmlformats.org/officeDocument/2006/relationships/hyperlink" Target="https://www.google.com/maps/place/City+Centre+Pharmacy/@36.2000564,-115.119871,17z/data=!3m1!4b1!4m6!3m5!1s0x80c8c2e0c367b029:0xf800285565794f24!8m2!3d36.2000564!4d-115.119871!16s%2Fg%2F11b6dspmds?authuser=0&amp;hl=en&amp;entry=ttu&amp;g_ep=EgoyMDI2MDcwNi4wIKXMDSoASAFQAw%3D%3D" TargetMode="External"/><Relationship Id="rId158" Type="http://schemas.openxmlformats.org/officeDocument/2006/relationships/hyperlink" Target="https://www.google.com/maps/place/Kids+World+Anand/@22.5613135,72.9476737,17z/data=!3m1!4b1!4m6!3m5!1s0x395e4e87ed3c43ff:0xa3647591d653b7c!8m2!3d22.5613135!4d72.9476737!16s%2Fg%2F11b6clrfnb?authuser=0&amp;hl=en&amp;entry=ttu&amp;g_ep=EgoyMDI2MDcwNy4wIKXMDSoASAFQAw%3D%3D" TargetMode="External"/><Relationship Id="rId157" Type="http://schemas.openxmlformats.org/officeDocument/2006/relationships/hyperlink" Target="https://www.google.com/maps/place/Eklavya+Play+School/@22.5586298,72.9555586,17z/data=!3m1!4b1!4m6!3m5!1s0x395e4f44b03a4eed:0x86ae2704ddd1f4f6!8m2!3d22.5586298!4d72.9555586!16s%2Fg%2F11g0zr771f?authuser=0&amp;hl=en&amp;entry=ttu&amp;g_ep=EgoyMDI2MDcwNy4wIKXMDSoASAFQAw%3D%3D" TargetMode="External"/><Relationship Id="rId156" Type="http://schemas.openxmlformats.org/officeDocument/2006/relationships/hyperlink" Target="https://www.google.com/maps/place/THE+SPECTRUM+KIDS+preschool/@22.5460496,72.9784547,17z/data=!3m1!4b1!4m6!3m5!1s0x395e4c1ba8ea2549:0x843bacd75b641b58!8m2!3d22.5460496!4d72.9784547!16s%2Fg%2F11g6vfvfgt?authuser=0&amp;hl=en&amp;entry=ttu&amp;g_ep=EgoyMDI2MDcwNy4wIKXMDSoASAFQAw%3D%3D" TargetMode="External"/><Relationship Id="rId155" Type="http://schemas.openxmlformats.org/officeDocument/2006/relationships/hyperlink" Target="https://www.google.com/maps/place/Little+Hearts+Play+Home+and+Kindergarten/@22.5594261,72.9505751,17z/data=!3m1!4b1!4m6!3m5!1s0x395e4e868cb81a03:0x7dc7e496e7ac81ae!8m2!3d22.5594261!4d72.9505751!16s%2Fg%2F11cm01zq7_?authuser=0&amp;hl=en&amp;entry=ttu&amp;g_ep=EgoyMDI2MDcwNy4wIKXMDSoASAFQAw%3D%3D" TargetMode="External"/><Relationship Id="rId107" Type="http://schemas.openxmlformats.org/officeDocument/2006/relationships/hyperlink" Target="https://www.google.com/maps/place/Medhealth+natural/@28.7861709,76.1568069,17z/data=!3m1!4b1!4m6!3m5!1s0x391261498cf52197:0x5cf29e1b90cbe394!8m2!3d28.7861709!4d76.1568069!16s%2Fg%2F11w9nhrdr_?authuser=0&amp;hl=en&amp;entry=ttu&amp;g_ep=EgoyMDI2MDcwNS4wIKXMDSoASAFQAw%3D%3D" TargetMode="External"/><Relationship Id="rId106" Type="http://schemas.openxmlformats.org/officeDocument/2006/relationships/hyperlink" Target="https://www.google.com/maps/place/Healthy+Vibes+Physiotherapy/@28.8663501,75.9256611,17z/data=!3m1!4b1!4m6!3m5!1s0x39124583411e66bd:0xfbcf632d0444675c!8m2!3d28.8663501!4d75.9256611!16s%2Fg%2F11r_nc2ykg?authuser=0&amp;hl=en&amp;entry=ttu&amp;g_ep=EgoyMDI2MDcwNS4wIKXMDSoASAFQAw%3D%3D" TargetMode="External"/><Relationship Id="rId105" Type="http://schemas.openxmlformats.org/officeDocument/2006/relationships/hyperlink" Target="https://www.google.com/maps/place/Asha+Healthcare+%26+Ayurvedic+Centre/@28.7797542,76.1451547,17z/data=!3m1!4b1!4m6!3m5!1s0x39126100334eb0ef:0x67a2830213876f16!8m2!3d28.7797542!4d76.1451547!16s%2Fg%2F11vyb9f6sw?authuser=0&amp;hl=en&amp;entry=ttu&amp;g_ep=EgoyMDI2MDcwNS4wIKXMDSoASAFQAw%3D%3D" TargetMode="External"/><Relationship Id="rId104" Type="http://schemas.openxmlformats.org/officeDocument/2006/relationships/hyperlink" Target="https://www.google.com/maps/place/Dr+relax+physiotherapy+clinic+%26blood+lab/@28.8045378,76.1304521,17z/data=!3m1!4b1!4m6!3m5!1s0x391267dd4c701fb5:0x9e74e984b0a38db2!8m2!3d28.8045378!4d76.1304521!16s%2Fg%2F11q3_mgnqm?authuser=0&amp;hl=en&amp;entry=ttu&amp;g_ep=EgoyMDI2MDcwNS4wIKXMDSoASAFQAw%3D%3D" TargetMode="External"/><Relationship Id="rId109" Type="http://schemas.openxmlformats.org/officeDocument/2006/relationships/hyperlink" Target="https://www.google.com/maps/place/Amar+Physiotherapist/@28.7996553,76.1435218,17z/data=!3m1!4b1!4m6!3m5!1s0x391266d02a8de467:0x747be62ac10700a7!8m2!3d28.7996553!4d76.1435218!16s%2Fg%2F11f0_ftvrm?authuser=0&amp;hl=en&amp;entry=ttu&amp;g_ep=EgoyMDI2MDcwNS4wIKXMDSoASAFQAw%3D%3D" TargetMode="External"/><Relationship Id="rId108" Type="http://schemas.openxmlformats.org/officeDocument/2006/relationships/hyperlink" Target="https://www.google.com/maps/place/Parteek+phototherapy+centre/@28.7863721,76.1567751,17z/data=!3m1!4b1!4m6!3m5!1s0x391266cdb1a7ed77:0x92152c10d64ebe76!8m2!3d28.7863721!4d76.1567751!16s%2Fg%2F11f5hsxpb6?authuser=0&amp;hl=en&amp;entry=ttu&amp;g_ep=EgoyMDI2MDcwNS4wIKXMDSoASAFQAw%3D%3D" TargetMode="External"/><Relationship Id="rId103" Type="http://schemas.openxmlformats.org/officeDocument/2006/relationships/hyperlink" Target="https://www.google.com/maps/place/Physiotherapy+%26+Chiropractic+centre/@28.8084893,76.1133115,17z/data=!3m1!4b1!4m6!3m5!1s0x3912676ef5f7356b:0xee7e5961434e5084!8m2!3d28.8084893!4d76.1133115!16s%2Fg%2F11w1d6bzp6?authuser=0&amp;hl=en&amp;entry=ttu&amp;g_ep=EgoyMDI2MDcwNS4wIKXMDSoASAFQAw%3D%3D" TargetMode="External"/><Relationship Id="rId102" Type="http://schemas.openxmlformats.org/officeDocument/2006/relationships/hyperlink" Target="https://www.google.com/maps/place/VSP+THERAPY+CENTER/@28.8085388,76.1132411,17z/data=!3m1!4b1!4m6!3m5!1s0x391267d6a4f9a50b:0xae678a614f17f671!8m2!3d28.8085388!4d76.1132411!16s%2Fg%2F11wn_ccrjy?authuser=0&amp;hl=en&amp;entry=ttu&amp;g_ep=EgoyMDI2MDcwNS4wIKXMDSoASAFQAw%3D%3D" TargetMode="External"/><Relationship Id="rId101" Type="http://schemas.openxmlformats.org/officeDocument/2006/relationships/hyperlink" Target="https://www.google.com/maps/place/Ansh+Hospital/@28.7900727,76.1451586,17z/data=!3m1!4b1!4m6!3m5!1s0x39126132c733e193:0x1e1c3f533885611b!8m2!3d28.7900727!4d76.1451586!16s%2Fg%2F11g8d519jd?authuser=0&amp;hl=en&amp;entry=ttu&amp;g_ep=EgoyMDI2MDcwNS4wIKXMDSoASAFQAw%3D%3D" TargetMode="External"/><Relationship Id="rId100" Type="http://schemas.openxmlformats.org/officeDocument/2006/relationships/hyperlink" Target="https://www.google.com/maps/place/Ayushman+Physiotherapy+Centre/@28.7986094,76.1308108,16z/data=!3m1!4b1!4m6!3m5!1s0x391267283696463f:0x15f17b84e9af4bed!8m2!3d28.7986094!4d76.1308108!16s%2Fg%2F11clwfcb3v?authuser=0&amp;hl=en&amp;entry=ttu&amp;g_ep=EgoyMDI2MDcwNS4wIKXMDSoASAFQAw%3D%3D" TargetMode="External"/><Relationship Id="rId129" Type="http://schemas.openxmlformats.org/officeDocument/2006/relationships/hyperlink" Target="https://www.google.com/maps/place/Anaya+mattress+and+finishing/@25.8340168,72.2274767,17z/data=!3m1!4b1!4m6!3m5!1s0x3943efde262d23ed:0xefcdad75a46f0809!8m2!3d25.8340168!4d72.2274767!16s%2Fg%2F11xs4wj_gd?authuser=0&amp;hl=en&amp;entry=ttu&amp;g_ep=EgoyMDI2MDcwNi4wIKXMDSoASAFQAw%3D%3D" TargetMode="External"/><Relationship Id="rId128" Type="http://schemas.openxmlformats.org/officeDocument/2006/relationships/hyperlink" Target="https://www.google.com/maps/place/Nursing+officer+Rajsa+Goyal/@25.8283626,72.2705566,17z/data=!3m1!4b1!4m6!3m5!1s0x39418b5b3384caa7:0xd22c6cfd02b3bd5d!8m2!3d25.8283626!4d72.2705566!16s%2Fg%2F11rxrk1qv7?authuser=0&amp;hl=en&amp;entry=ttu&amp;g_ep=EgoyMDI2MDcwNi4wIKXMDSoASAFQAw%3D%3D" TargetMode="External"/><Relationship Id="rId127" Type="http://schemas.openxmlformats.org/officeDocument/2006/relationships/hyperlink" Target="https://www.google.com/maps/place/Maharishi+Patanjali+Arogyam/@25.8275289,72.246267,17z/data=!3m1!4b1!4m6!3m5!1s0x3943e905e32fe559:0xd89a923d06e76ace!8m2!3d25.8275289!4d72.246267!16s%2Fg%2F11x8d_98ph?authuser=0&amp;hl=en&amp;entry=ttu&amp;g_ep=EgoyMDI2MDcwNi4wIKXMDSoASAFQAw%3D%3D" TargetMode="External"/><Relationship Id="rId126" Type="http://schemas.openxmlformats.org/officeDocument/2006/relationships/hyperlink" Target="https://www.google.com/maps/place/MAHARISHI+PATANJALI+AROGYAM/@25.8276499,72.2455506,17z/data=!3m1!4b1!4m6!3m5!1s0x39418b6bcab202c9:0x319106fa0a08ee53!8m2!3d25.8276499!4d72.2455506!16s%2Fg%2F11x62867mx?authuser=0&amp;hl=en&amp;entry=ttu&amp;g_ep=EgoyMDI2MDcwNi4wIKXMDSoASAFQAw%3D%3D" TargetMode="External"/><Relationship Id="rId121" Type="http://schemas.openxmlformats.org/officeDocument/2006/relationships/hyperlink" Target="https://www.google.com/maps/place/Family+Vision+Optometry/@37.2503331,-121.8423286,17z/data=!3m1!4b1!4m6!3m5!1s0x808e318f037f4dc3:0x4bee52a9435510dd!8m2!3d37.2503331!4d-121.8423286!16s%2Fg%2F1th87c00?authuser=0&amp;hl=en&amp;entry=ttu&amp;g_ep=EgoyMDI2MDcwNS4wIKXMDSoASAFQAw%3D%3D" TargetMode="External"/><Relationship Id="rId120" Type="http://schemas.openxmlformats.org/officeDocument/2006/relationships/hyperlink" Target="https://www.google.com/maps/place/San+Jose+Eye+Care/@37.3654364,-121.851604,17z/data=!3m1!4b1!4m6!3m5!1s0x808fcd015baa3d95:0xb70ed7bacd696ada!8m2!3d37.3654364!4d-121.851604!16s%2Fg%2F1v7tlmcd?authuser=0&amp;hl=en&amp;entry=ttu&amp;g_ep=EgoyMDI2MDcwNS4wIKXMDSoASAFQAw%3D%3D" TargetMode="External"/><Relationship Id="rId125" Type="http://schemas.openxmlformats.org/officeDocument/2006/relationships/hyperlink" Target="https://www.google.com/maps/place/Moral+Fitness+Centre/@25.8287787,72.2517826,17z/data=!3m1!4b1!4m6!3m5!1s0x3943e9ab7ff42e23:0x75e407767c1e5a9c!8m2!3d25.8287787!4d72.2517826!16s%2Fg%2F11q2y9mwsw?authuser=0&amp;hl=en&amp;entry=ttu&amp;g_ep=EgoyMDI2MDcwNi4wIKXMDSoASAFQAw%3D%3D" TargetMode="External"/><Relationship Id="rId124" Type="http://schemas.openxmlformats.org/officeDocument/2006/relationships/hyperlink" Target="https://www.google.com/maps/place/Dr.+Nature+Ayurvedic+Wellness+Centre/@25.8334398,72.2401366,17z/data=!3m1!4b1!4m6!3m5!1s0x3943e9fa1dee447d:0x4235eb059a3463cc!8m2!3d25.8334398!4d72.2401366!16s%2Fg%2F11yt2r19bs?authuser=0&amp;hl=en&amp;entry=ttu&amp;g_ep=EgoyMDI2MDcwNi4wIKXMDSoASAFQAw%3D%3D" TargetMode="External"/><Relationship Id="rId123" Type="http://schemas.openxmlformats.org/officeDocument/2006/relationships/hyperlink" Target="https://www.google.com/maps/place/Wellness+and+nutrition+center+with+zumba+class/@25.8345936,72.2313566,17z/data=!3m1!4b1!4m6!3m5!1s0x3943ef001e7b82e1:0x984e563e5ca50162!8m2!3d25.8345936!4d72.2313566!16s%2Fg%2F11z2xrch7j?authuser=0&amp;hl=en&amp;entry=ttu&amp;g_ep=EgoyMDI2MDcwNi4wIKXMDSoASAFQAw%3D%3D" TargetMode="External"/><Relationship Id="rId122" Type="http://schemas.openxmlformats.org/officeDocument/2006/relationships/hyperlink" Target="https://www.google.com/maps/place/AYURVEDA+WELLNESS+CENTER/@25.833497,72.2592113,17z/data=!3m1!4b1!4m6!3m5!1s0x3943e916cb56dd95:0x7e03690a88ddc78b!8m2!3d25.833497!4d72.2592113!16s%2Fg%2F11vyg2vfq6?authuser=0&amp;hl=en&amp;entry=ttu&amp;g_ep=EgoyMDI2MDcwNi4wIKXMDSoASAFQAw%3D%3D" TargetMode="External"/><Relationship Id="rId95" Type="http://schemas.openxmlformats.org/officeDocument/2006/relationships/hyperlink" Target="https://www.google.com/maps/place/AS+Physiotherapy+%26+Rehabilitation+Center/@28.7988524,76.1432952,17z/data=!3m1!4b1!4m6!3m5!1s0x391267954c5e6acb:0x1ae41216b1700d1c!8m2!3d28.7988524!4d76.1432952!16s%2Fg%2F11lk9pm6nb?authuser=0&amp;hl=en&amp;entry=ttu&amp;g_ep=EgoyMDI2MDcwNS4wIKXMDSoASAFQAw%3D%3D" TargetMode="External"/><Relationship Id="rId94" Type="http://schemas.openxmlformats.org/officeDocument/2006/relationships/hyperlink" Target="https://www.google.com/maps/place/Inner+Wellness+Physiotherapy+(Dr+Garima+MPT+Neuro)/@28.7949201,76.1314302,17z/data=!3m1!4b1!4m6!3m5!1s0x391267b073d94065:0x990368078643d354!8m2!3d28.7949201!4d76.1314302!16s%2Fg%2F11vzkqff4h?authuser=0&amp;hl=en&amp;entry=ttu&amp;g_ep=EgoyMDI2MDcwNS4wIKXMDSoASAFQAw%3D%3D" TargetMode="External"/><Relationship Id="rId97" Type="http://schemas.openxmlformats.org/officeDocument/2006/relationships/hyperlink" Target="https://www.google.com/maps/place/Krishna's+Physiotherapy+%26+Holistic+Centre+%E2%80%93+Chiropractic+%26+Pain+Relief+Clinic,+Bhiwani/@28.8038172,76.1482319,17z/data=!3m1!4b1!4m6!3m5!1s0x3912e3da93b8ee1f:0xadec546d88c8a60c!8m2!3d28.8038172!4d76.1482319!16s%2Fg%2F11px8v4npx?authuser=0&amp;hl=en&amp;entry=ttu&amp;g_ep=EgoyMDI2MDcwNS4wIKXMDSoASAFQAw%3D%3D" TargetMode="External"/><Relationship Id="rId96" Type="http://schemas.openxmlformats.org/officeDocument/2006/relationships/hyperlink" Target="https://www.google.com/maps/place/PhysioKalp+Physiotherapy+Centre/@28.7958537,76.1310395,17z/data=!3m1!4b1!4m6!3m5!1s0x39126755b799c9b9:0x95dcc84441a110b2!8m2!3d28.7958537!4d76.1310395!16s%2Fg%2F11vt0vhdkr?authuser=0&amp;hl=en&amp;entry=ttu&amp;g_ep=EgoyMDI2MDcwNS4wIKXMDSoASAFQAw%3D%3D" TargetMode="External"/><Relationship Id="rId99" Type="http://schemas.openxmlformats.org/officeDocument/2006/relationships/hyperlink" Target="https://www.google.com/maps/place/Sukoon+Physio+n+Wellness+Clinic/@28.7923247,76.1418002,17z/data=!3m1!4b1!4m6!3m5!1s0x391267a22449732b:0x71666a68a0dead83!8m2!3d28.7923247!4d76.1418002!16s%2Fg%2F11pkmdn99z?authuser=0&amp;hl=en&amp;entry=ttu&amp;g_ep=EgoyMDI2MDcwNS4wIKXMDSoASAFQAw%3D%3D" TargetMode="External"/><Relationship Id="rId98" Type="http://schemas.openxmlformats.org/officeDocument/2006/relationships/hyperlink" Target="https://www.google.com/maps/place/Deep+Physiotherapy+Clinic+And+Fitness+Centre/@28.7926296,76.1571773,17z/data=!3m1!4b1!4m6!3m5!1s0x3912677d79352aed:0xe5937cfe747495a1!8m2!3d28.7926296!4d76.1571773!16s%2Fg%2F11y1m16kkb?authuser=0&amp;hl=en&amp;entry=ttu&amp;g_ep=EgoyMDI2MDcwNS4wIKXMDSoASAFQAw%3D%3D" TargetMode="External"/><Relationship Id="rId91" Type="http://schemas.openxmlformats.org/officeDocument/2006/relationships/hyperlink" Target="https://www.google.com/maps/place/Pacific+Rim+Rehab/@37.3425192,-121.8762736,17z/data=!3m1!4b1!4m6!3m5!1s0x808fcc10944a4b27:0xb5583f82cfcfa07f!8m2!3d37.3425192!4d-121.8762736!16s%2Fg%2F1tfp2prg?authuser=0&amp;hl=en&amp;entry=ttu&amp;g_ep=EgoyMDI2MDYyOS4wIKXMDSoASAFQAw%3D%3D" TargetMode="External"/><Relationship Id="rId90" Type="http://schemas.openxmlformats.org/officeDocument/2006/relationships/hyperlink" Target="https://www.google.com/maps/search/San+Jose+Physical+Therapy+Jackson+Street/@37.3606591,-121.8470138,17z?authuser=0&amp;hl=en&amp;entry=ttu&amp;g_ep=EgoyMDI2MDYyOS4wIKXMDSoASAFQAw%3D%3D" TargetMode="External"/><Relationship Id="rId93" Type="http://schemas.openxmlformats.org/officeDocument/2006/relationships/hyperlink" Target="https://www.google.com/maps/place/Elite+Physiotherapy+and+Rehabilitation/@28.8163189,76.1441869,17z/data=!3m1!4b1!4m6!3m5!1s0x39126771112238a5:0x136281fe88b6b682!8m2!3d28.8163189!4d76.1441869!16s%2Fg%2F11ymjlh84s?authuser=0&amp;hl=en&amp;entry=ttu&amp;g_ep=EgoyMDI2MDcwNS4wIKXMDSoASAFQAw%3D%3D" TargetMode="External"/><Relationship Id="rId92" Type="http://schemas.openxmlformats.org/officeDocument/2006/relationships/hyperlink" Target="https://www.google.com/maps/place/Kavya+Physiotherapy+Centre+Bhiwani/@28.8046291,76.1575962,17z/data=!3m1!4b1!4m6!3m5!1s0x391267c215a50eb5:0x440cfa2ff69f20aa!8m2!3d28.8046291!4d76.1575962!16s%2Fg%2F11w8rb_lqm?authuser=0&amp;hl=en&amp;entry=ttu&amp;g_ep=EgoyMDI2MDcwNS4wIKXMDSoASAFQAw%3D%3D" TargetMode="External"/><Relationship Id="rId118" Type="http://schemas.openxmlformats.org/officeDocument/2006/relationships/hyperlink" Target="https://www.google.com/maps/place/Pacific+Therapy+%26+Rehab+Inc/@37.3426177,-121.8763528,17z/data=!3m1!4b1!4m6!3m5!1s0x808fccc03285b021:0x40dd6f9c3dc92920!8m2!3d37.3426177!4d-121.8763528!16s%2Fg%2F1tjl648f?authuser=0&amp;hl=en&amp;entry=ttu&amp;g_ep=EgoyMDI2MDcwNS4wIKXMDSoASAFQAw%3D%3D" TargetMode="External"/><Relationship Id="rId117" Type="http://schemas.openxmlformats.org/officeDocument/2006/relationships/hyperlink" Target="https://www.google.com/maps/place/Ability+Outpatient+Physical+Therapy+Clinic/@37.3301759,-121.7974478,17z/data=!3m1!4b1!4m6!3m5!1s0x808e2d882544d323:0xa33ca639137df6b5!8m2!3d37.3301759!4d-121.7974478!16s%2Fg%2F11fd3qxtk2?authuser=0&amp;hl=en&amp;entry=ttu&amp;g_ep=EgoyMDI2MDcwNS4wIKXMDSoASAFQAw%3D%3D" TargetMode="External"/><Relationship Id="rId116" Type="http://schemas.openxmlformats.org/officeDocument/2006/relationships/hyperlink" Target="https://www.google.com/maps/place/Deswal+Super+Speciality+Dental+Hospital+%26+Implant+Centre/@28.8005141,76.1420198,17z/data=!3m1!4b1!4m6!3m5!1s0x391266d040e9a1db:0x8cac97e9355f3832!8m2!3d28.8005141!4d76.1420198!16s%2Fg%2F124ygcf1z?authuser=0&amp;hl=en&amp;entry=ttu&amp;g_ep=EgoyMDI2MDcwNS4wIKXMDSoASAFQAw%3D%3D" TargetMode="External"/><Relationship Id="rId115" Type="http://schemas.openxmlformats.org/officeDocument/2006/relationships/hyperlink" Target="https://www.google.com/maps/place/Bhardwaj+Child+%26+Maternity+Hospital/@28.8005657,76.1418023,17z/data=!3m1!4b1!4m6!3m5!1s0x391266d0417f2359:0xf8b2fda7c93d7311!8m2!3d28.8005657!4d76.1418023!16s%2Fg%2F119tdyq2y?authuser=0&amp;hl=en&amp;entry=ttu&amp;g_ep=EgoyMDI2MDcwNS4wIKXMDSoASAFQAw%3D%3D" TargetMode="External"/><Relationship Id="rId119" Type="http://schemas.openxmlformats.org/officeDocument/2006/relationships/hyperlink" Target="https://www.google.com/maps/place/Kinemax+Physical+Therapy/@37.3004915,-121.9446305,10z/data=!3m1!4b1!4m6!3m5!1s0x808fb5d1b7483b55:0x4a9bf1ab7db44678!8m2!3d37.3004915!4d-121.9446305!16s%2Fg%2F11mp82y5c5?authuser=0&amp;hl=en&amp;entry=ttu&amp;g_ep=EgoyMDI2MDcwNS4wIKXMDSoASAFQAw%3D%3D" TargetMode="External"/><Relationship Id="rId110" Type="http://schemas.openxmlformats.org/officeDocument/2006/relationships/hyperlink" Target="https://www.google.com/maps/place/HIMANSHU+PHYSIOTHERAPY+CENTRE+,+KAIRU,+BHIWANI/@28.7827769,75.9852561,17z/data=!3m1!4b1!4m6!3m5!1s0x39125b5137b7e563:0x69859232bd050d05!8m2!3d28.7827769!4d75.9852561!16s%2Fg%2F11pz19w6y8?authuser=0&amp;hl=en&amp;entry=ttu&amp;g_ep=EgoyMDI2MDcwNS4wIKXMDSoASAFQAw%3D%3D" TargetMode="External"/><Relationship Id="rId114" Type="http://schemas.openxmlformats.org/officeDocument/2006/relationships/hyperlink" Target="https://www.google.com/maps/place/Jangra+Multispeciality+Hospital+-+Ayushman%2FTrauma%2FGynaecologist%2FESI%2FECHS%2FHARYANA+GOVT.+TPA+Best+Hospital+in+Bhiwani/@28.7956073,76.1571257,17z/data=!3m1!4b1!4m6!3m5!1s0x39126734d2b55091:0x16fe8f39d066af42!8m2!3d28.7956073!4d76.1571257!16s%2Fg%2F11g0tsm70b?authuser=0&amp;hl=en&amp;entry=ttu&amp;g_ep=EgoyMDI2MDcwNS4wIKXMDSoASAFQAw%3D%3D" TargetMode="External"/><Relationship Id="rId113" Type="http://schemas.openxmlformats.org/officeDocument/2006/relationships/hyperlink" Target="https://www.google.com/maps/place/Best+Chiropractor+in+hisar+%7C+Dr+Nakul+Vats+Chiropractor/@29.156191,75.7555389,12z/data=!3m1!4b1!4m6!3m5!1s0x39123355bc20098f:0x13a5fe0f153168e6!8m2!3d29.156191!4d75.7555389!16s%2Fg%2F11w93y8nc6?authuser=0&amp;hl=en&amp;entry=ttu&amp;g_ep=EgoyMDI2MDcwNS4wIKXMDSoASAFQAw%3D%3D" TargetMode="External"/><Relationship Id="rId112" Type="http://schemas.openxmlformats.org/officeDocument/2006/relationships/hyperlink" Target="https://www.google.com/maps/place/Spine+Care+Bhiwani+-+Best+therapy+in+Bhiwani/@28.7769849,76.1584201,17z/data=!3m1!4b1!4m6!3m5!1s0x391261fa42a56207:0x8b655651beeb662d!8m2!3d28.7769849!4d76.1584201!16s%2Fg%2F11vc7r8cy_?authuser=0&amp;hl=en&amp;entry=ttu&amp;g_ep=EgoyMDI2MDcwNS4wIKXMDSoASAFQAw%3D%3D" TargetMode="External"/><Relationship Id="rId111" Type="http://schemas.openxmlformats.org/officeDocument/2006/relationships/hyperlink" Target="https://www.google.com/maps/place/MATRIX+HOSPITAL+%26+RESEARCH+CENTRE+(+BHIWANI+)+-+127021/@28.7999347,76.14209,17z/data=!3m1!4b1!4m6!3m5!1s0x391267005da948d5:0xf86d8600003f47e0!8m2!3d28.7999347!4d76.14209!16s%2Fg%2F11w8dswwm0?authuser=0&amp;hl=en&amp;entry=ttu&amp;g_ep=EgoyMDI2MDcwNS4wIKXMDSoASAFQAw%3D%3D" TargetMode="External"/><Relationship Id="rId201" Type="http://schemas.openxmlformats.org/officeDocument/2006/relationships/drawing" Target="../drawings/drawing1.xml"/><Relationship Id="rId200" Type="http://schemas.openxmlformats.org/officeDocument/2006/relationships/hyperlink" Target="https://www.google.com/maps/place/balaji+opticals/@28.7965332,76.1334689,17z/data=!3m1!4b1!4m6!3m5!1s0x3912672582dbc873:0x7ed5f7e187daa142!8m2!3d28.7965332!4d76.1334689!16s%2Fg%2F11qb84rvz5?authuser=0&amp;hl=en&amp;entry=ttu&amp;g_ep=EgoyMDI2MDcwOC4wIKXMDSoASAFQ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88"/>
    <col customWidth="1" min="10" max="10" width="31.38"/>
    <col customWidth="1" min="11" max="11" width="19.63"/>
    <col customWidth="1" min="12" max="12" width="16.7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2" t="s">
        <v>11</v>
      </c>
      <c r="M1" s="2" t="s">
        <v>12</v>
      </c>
    </row>
    <row r="2">
      <c r="A2" s="5">
        <v>1.0</v>
      </c>
      <c r="B2" s="6" t="s">
        <v>13</v>
      </c>
      <c r="C2" s="6" t="s">
        <v>14</v>
      </c>
      <c r="D2" s="7" t="s">
        <v>15</v>
      </c>
      <c r="E2" s="6" t="s">
        <v>16</v>
      </c>
      <c r="F2" s="6" t="s">
        <v>16</v>
      </c>
      <c r="G2" s="6" t="s">
        <v>16</v>
      </c>
      <c r="H2" s="6" t="s">
        <v>16</v>
      </c>
      <c r="I2" s="6">
        <f>12294541223</f>
        <v>12294541223</v>
      </c>
      <c r="J2" s="8" t="s">
        <v>17</v>
      </c>
      <c r="K2" s="6" t="s">
        <v>18</v>
      </c>
      <c r="L2" s="9">
        <v>0.0</v>
      </c>
      <c r="M2" s="9">
        <v>0.0</v>
      </c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>
      <c r="A3" s="5">
        <v>2.0</v>
      </c>
      <c r="B3" s="6" t="s">
        <v>13</v>
      </c>
      <c r="C3" s="6" t="s">
        <v>14</v>
      </c>
      <c r="D3" s="6" t="s">
        <v>19</v>
      </c>
      <c r="E3" s="6" t="s">
        <v>16</v>
      </c>
      <c r="F3" s="6" t="s">
        <v>16</v>
      </c>
      <c r="G3" s="6" t="s">
        <v>16</v>
      </c>
      <c r="H3" s="6" t="s">
        <v>16</v>
      </c>
      <c r="I3" s="6">
        <f>14153990609</f>
        <v>14153990609</v>
      </c>
      <c r="J3" s="11" t="s">
        <v>20</v>
      </c>
      <c r="K3" s="6" t="s">
        <v>18</v>
      </c>
      <c r="L3" s="9">
        <v>3.7</v>
      </c>
      <c r="M3" s="9">
        <v>74.0</v>
      </c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>
      <c r="A4" s="5">
        <v>3.0</v>
      </c>
      <c r="B4" s="6" t="s">
        <v>21</v>
      </c>
      <c r="C4" s="6" t="s">
        <v>22</v>
      </c>
      <c r="D4" s="6" t="s">
        <v>23</v>
      </c>
      <c r="E4" s="6" t="s">
        <v>16</v>
      </c>
      <c r="F4" s="6" t="s">
        <v>16</v>
      </c>
      <c r="G4" s="6" t="s">
        <v>16</v>
      </c>
      <c r="H4" s="6" t="s">
        <v>16</v>
      </c>
      <c r="I4" s="6">
        <v>8.708512323E9</v>
      </c>
      <c r="J4" s="11" t="s">
        <v>24</v>
      </c>
      <c r="K4" s="6" t="s">
        <v>25</v>
      </c>
      <c r="L4" s="9">
        <v>4.9</v>
      </c>
      <c r="M4" s="9">
        <v>14.0</v>
      </c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>
      <c r="A5" s="5">
        <v>4.0</v>
      </c>
      <c r="B5" s="6" t="s">
        <v>21</v>
      </c>
      <c r="C5" s="6" t="s">
        <v>22</v>
      </c>
      <c r="D5" s="6" t="s">
        <v>26</v>
      </c>
      <c r="E5" s="6" t="s">
        <v>16</v>
      </c>
      <c r="F5" s="6" t="s">
        <v>16</v>
      </c>
      <c r="G5" s="6" t="s">
        <v>16</v>
      </c>
      <c r="H5" s="6" t="s">
        <v>16</v>
      </c>
      <c r="I5" s="6">
        <v>7.206042912E9</v>
      </c>
      <c r="J5" s="11" t="s">
        <v>27</v>
      </c>
      <c r="K5" s="6" t="s">
        <v>28</v>
      </c>
      <c r="L5" s="9">
        <v>5.0</v>
      </c>
      <c r="M5" s="9">
        <v>7.0</v>
      </c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>
      <c r="A6" s="5">
        <v>5.0</v>
      </c>
      <c r="B6" s="6" t="s">
        <v>21</v>
      </c>
      <c r="C6" s="6" t="s">
        <v>22</v>
      </c>
      <c r="D6" s="6" t="s">
        <v>29</v>
      </c>
      <c r="E6" s="6" t="s">
        <v>16</v>
      </c>
      <c r="F6" s="6" t="s">
        <v>16</v>
      </c>
      <c r="G6" s="6" t="s">
        <v>16</v>
      </c>
      <c r="H6" s="6" t="s">
        <v>16</v>
      </c>
      <c r="I6" s="6">
        <v>9.992849288E9</v>
      </c>
      <c r="J6" s="11" t="s">
        <v>30</v>
      </c>
      <c r="K6" s="6" t="s">
        <v>28</v>
      </c>
      <c r="L6" s="9">
        <v>4.7</v>
      </c>
      <c r="M6" s="9">
        <v>11.0</v>
      </c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>
      <c r="A7" s="5">
        <v>6.0</v>
      </c>
      <c r="B7" s="6" t="s">
        <v>21</v>
      </c>
      <c r="C7" s="6" t="s">
        <v>22</v>
      </c>
      <c r="D7" s="6" t="s">
        <v>31</v>
      </c>
      <c r="E7" s="6" t="s">
        <v>16</v>
      </c>
      <c r="F7" s="6" t="s">
        <v>16</v>
      </c>
      <c r="G7" s="6" t="s">
        <v>16</v>
      </c>
      <c r="H7" s="6" t="s">
        <v>16</v>
      </c>
      <c r="I7" s="6">
        <v>9.215949789E9</v>
      </c>
      <c r="J7" s="11" t="s">
        <v>32</v>
      </c>
      <c r="K7" s="6" t="s">
        <v>28</v>
      </c>
      <c r="L7" s="9">
        <v>5.0</v>
      </c>
      <c r="M7" s="9">
        <v>2.0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>
      <c r="A8" s="5">
        <v>7.0</v>
      </c>
      <c r="B8" s="6" t="s">
        <v>21</v>
      </c>
      <c r="C8" s="6" t="s">
        <v>22</v>
      </c>
      <c r="D8" s="6" t="s">
        <v>33</v>
      </c>
      <c r="E8" s="6" t="s">
        <v>16</v>
      </c>
      <c r="F8" s="6" t="s">
        <v>16</v>
      </c>
      <c r="G8" s="6" t="s">
        <v>16</v>
      </c>
      <c r="H8" s="6" t="s">
        <v>16</v>
      </c>
      <c r="I8" s="6">
        <v>9.254404142E9</v>
      </c>
      <c r="J8" s="11" t="s">
        <v>34</v>
      </c>
      <c r="K8" s="6" t="s">
        <v>28</v>
      </c>
      <c r="L8" s="9">
        <v>4.1</v>
      </c>
      <c r="M8" s="9">
        <v>97.0</v>
      </c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>
      <c r="A9" s="5">
        <v>8.0</v>
      </c>
      <c r="B9" s="6" t="s">
        <v>21</v>
      </c>
      <c r="C9" s="6" t="s">
        <v>22</v>
      </c>
      <c r="D9" s="6" t="s">
        <v>35</v>
      </c>
      <c r="E9" s="6" t="s">
        <v>16</v>
      </c>
      <c r="F9" s="6" t="s">
        <v>16</v>
      </c>
      <c r="G9" s="6" t="s">
        <v>16</v>
      </c>
      <c r="H9" s="6" t="s">
        <v>16</v>
      </c>
      <c r="I9" s="6">
        <v>8.395950024E9</v>
      </c>
      <c r="J9" s="11" t="s">
        <v>36</v>
      </c>
      <c r="K9" s="6" t="s">
        <v>37</v>
      </c>
      <c r="L9" s="9">
        <v>5.0</v>
      </c>
      <c r="M9" s="9">
        <v>274.0</v>
      </c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>
      <c r="A10" s="5">
        <v>9.0</v>
      </c>
      <c r="B10" s="6" t="s">
        <v>21</v>
      </c>
      <c r="C10" s="6" t="s">
        <v>22</v>
      </c>
      <c r="D10" s="6" t="s">
        <v>38</v>
      </c>
      <c r="E10" s="6" t="s">
        <v>16</v>
      </c>
      <c r="F10" s="6" t="s">
        <v>16</v>
      </c>
      <c r="G10" s="6" t="s">
        <v>16</v>
      </c>
      <c r="H10" s="6" t="s">
        <v>16</v>
      </c>
      <c r="I10" s="6">
        <v>7.404162728E9</v>
      </c>
      <c r="J10" s="11" t="s">
        <v>39</v>
      </c>
      <c r="K10" s="6" t="s">
        <v>25</v>
      </c>
      <c r="L10" s="9">
        <v>4.9</v>
      </c>
      <c r="M10" s="9">
        <v>90.0</v>
      </c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>
      <c r="A11" s="5">
        <v>10.0</v>
      </c>
      <c r="B11" s="6" t="s">
        <v>21</v>
      </c>
      <c r="C11" s="6" t="s">
        <v>22</v>
      </c>
      <c r="D11" s="6" t="s">
        <v>40</v>
      </c>
      <c r="E11" s="6" t="s">
        <v>16</v>
      </c>
      <c r="F11" s="6" t="s">
        <v>16</v>
      </c>
      <c r="G11" s="6" t="s">
        <v>16</v>
      </c>
      <c r="H11" s="6" t="s">
        <v>16</v>
      </c>
      <c r="I11" s="6">
        <v>9.813412186E9</v>
      </c>
      <c r="J11" s="11" t="s">
        <v>41</v>
      </c>
      <c r="K11" s="6" t="s">
        <v>37</v>
      </c>
      <c r="L11" s="9">
        <v>4.8</v>
      </c>
      <c r="M11" s="9">
        <v>397.0</v>
      </c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>
      <c r="A12" s="5">
        <v>11.0</v>
      </c>
      <c r="B12" s="6" t="s">
        <v>21</v>
      </c>
      <c r="C12" s="6" t="s">
        <v>22</v>
      </c>
      <c r="D12" s="6" t="s">
        <v>42</v>
      </c>
      <c r="E12" s="6" t="s">
        <v>16</v>
      </c>
      <c r="F12" s="6" t="s">
        <v>16</v>
      </c>
      <c r="G12" s="6" t="s">
        <v>16</v>
      </c>
      <c r="H12" s="6" t="s">
        <v>16</v>
      </c>
      <c r="I12" s="6">
        <v>7.082818785E9</v>
      </c>
      <c r="J12" s="11" t="s">
        <v>43</v>
      </c>
      <c r="K12" s="6" t="s">
        <v>37</v>
      </c>
      <c r="L12" s="9">
        <v>5.0</v>
      </c>
      <c r="M12" s="9">
        <v>163.0</v>
      </c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>
      <c r="A13" s="5">
        <v>12.0</v>
      </c>
      <c r="B13" s="6" t="s">
        <v>21</v>
      </c>
      <c r="C13" s="6" t="s">
        <v>22</v>
      </c>
      <c r="D13" s="6" t="s">
        <v>44</v>
      </c>
      <c r="E13" s="6" t="s">
        <v>16</v>
      </c>
      <c r="F13" s="6" t="s">
        <v>16</v>
      </c>
      <c r="G13" s="6" t="s">
        <v>16</v>
      </c>
      <c r="H13" s="6" t="s">
        <v>16</v>
      </c>
      <c r="I13" s="6">
        <v>9.728916235E9</v>
      </c>
      <c r="J13" s="11" t="s">
        <v>45</v>
      </c>
      <c r="K13" s="6" t="s">
        <v>37</v>
      </c>
      <c r="L13" s="9">
        <v>5.0</v>
      </c>
      <c r="M13" s="9">
        <v>3.0</v>
      </c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>
      <c r="A14" s="5">
        <v>13.0</v>
      </c>
      <c r="B14" s="6" t="s">
        <v>21</v>
      </c>
      <c r="C14" s="6" t="s">
        <v>22</v>
      </c>
      <c r="D14" s="6" t="s">
        <v>46</v>
      </c>
      <c r="E14" s="6" t="s">
        <v>16</v>
      </c>
      <c r="F14" s="6" t="s">
        <v>16</v>
      </c>
      <c r="G14" s="6" t="s">
        <v>16</v>
      </c>
      <c r="H14" s="6" t="s">
        <v>16</v>
      </c>
      <c r="I14" s="6">
        <v>8.607711909E9</v>
      </c>
      <c r="J14" s="11" t="s">
        <v>47</v>
      </c>
      <c r="K14" s="6" t="s">
        <v>37</v>
      </c>
      <c r="L14" s="9">
        <v>5.0</v>
      </c>
      <c r="M14" s="9">
        <v>27.0</v>
      </c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>
      <c r="A15" s="5">
        <v>14.0</v>
      </c>
      <c r="B15" s="6" t="s">
        <v>21</v>
      </c>
      <c r="C15" s="6" t="s">
        <v>22</v>
      </c>
      <c r="D15" s="6" t="s">
        <v>48</v>
      </c>
      <c r="E15" s="6" t="s">
        <v>16</v>
      </c>
      <c r="F15" s="6" t="s">
        <v>16</v>
      </c>
      <c r="G15" s="6" t="s">
        <v>16</v>
      </c>
      <c r="H15" s="6" t="s">
        <v>16</v>
      </c>
      <c r="I15" s="6">
        <v>9.896231991E9</v>
      </c>
      <c r="J15" s="11" t="s">
        <v>49</v>
      </c>
      <c r="K15" s="6" t="s">
        <v>37</v>
      </c>
      <c r="L15" s="9">
        <v>5.0</v>
      </c>
      <c r="M15" s="9">
        <v>128.0</v>
      </c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>
      <c r="A16" s="5">
        <v>15.0</v>
      </c>
      <c r="B16" s="6" t="s">
        <v>21</v>
      </c>
      <c r="C16" s="6" t="s">
        <v>22</v>
      </c>
      <c r="D16" s="6" t="s">
        <v>50</v>
      </c>
      <c r="E16" s="6" t="s">
        <v>16</v>
      </c>
      <c r="F16" s="6" t="s">
        <v>16</v>
      </c>
      <c r="G16" s="6" t="s">
        <v>16</v>
      </c>
      <c r="H16" s="6" t="s">
        <v>16</v>
      </c>
      <c r="I16" s="6">
        <v>9.991642259E9</v>
      </c>
      <c r="J16" s="11" t="s">
        <v>51</v>
      </c>
      <c r="K16" s="6" t="s">
        <v>37</v>
      </c>
      <c r="L16" s="9">
        <v>5.0</v>
      </c>
      <c r="M16" s="9">
        <v>19.0</v>
      </c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>
      <c r="A17" s="5">
        <v>16.0</v>
      </c>
      <c r="B17" s="6" t="s">
        <v>21</v>
      </c>
      <c r="C17" s="6" t="s">
        <v>22</v>
      </c>
      <c r="D17" s="6" t="s">
        <v>52</v>
      </c>
      <c r="E17" s="6" t="s">
        <v>16</v>
      </c>
      <c r="F17" s="6" t="s">
        <v>16</v>
      </c>
      <c r="G17" s="6" t="s">
        <v>16</v>
      </c>
      <c r="H17" s="6" t="s">
        <v>16</v>
      </c>
      <c r="I17" s="6">
        <v>9.034270587E9</v>
      </c>
      <c r="J17" s="11" t="s">
        <v>53</v>
      </c>
      <c r="K17" s="6" t="s">
        <v>37</v>
      </c>
      <c r="L17" s="9">
        <v>5.0</v>
      </c>
      <c r="M17" s="9">
        <v>49.0</v>
      </c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>
      <c r="A18" s="5">
        <v>17.0</v>
      </c>
      <c r="B18" s="6" t="s">
        <v>21</v>
      </c>
      <c r="C18" s="6" t="s">
        <v>22</v>
      </c>
      <c r="D18" s="6" t="s">
        <v>54</v>
      </c>
      <c r="E18" s="6" t="s">
        <v>16</v>
      </c>
      <c r="F18" s="6" t="s">
        <v>16</v>
      </c>
      <c r="G18" s="6" t="s">
        <v>16</v>
      </c>
      <c r="H18" s="6" t="s">
        <v>16</v>
      </c>
      <c r="I18" s="6">
        <v>8.295272379E9</v>
      </c>
      <c r="J18" s="11" t="s">
        <v>55</v>
      </c>
      <c r="K18" s="6" t="s">
        <v>37</v>
      </c>
      <c r="L18" s="9">
        <v>4.6</v>
      </c>
      <c r="M18" s="9">
        <v>25.0</v>
      </c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>
      <c r="A19" s="5">
        <v>18.0</v>
      </c>
      <c r="B19" s="6" t="s">
        <v>21</v>
      </c>
      <c r="C19" s="6" t="s">
        <v>22</v>
      </c>
      <c r="D19" s="6" t="s">
        <v>56</v>
      </c>
      <c r="E19" s="6" t="s">
        <v>16</v>
      </c>
      <c r="F19" s="6" t="s">
        <v>16</v>
      </c>
      <c r="G19" s="6" t="s">
        <v>16</v>
      </c>
      <c r="H19" s="6" t="s">
        <v>16</v>
      </c>
      <c r="I19" s="6">
        <v>8.950330888E9</v>
      </c>
      <c r="J19" s="11" t="s">
        <v>57</v>
      </c>
      <c r="K19" s="6" t="s">
        <v>37</v>
      </c>
      <c r="L19" s="9">
        <v>5.0</v>
      </c>
      <c r="M19" s="9">
        <v>39.0</v>
      </c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>
      <c r="A20" s="5">
        <v>19.0</v>
      </c>
      <c r="B20" s="6" t="s">
        <v>21</v>
      </c>
      <c r="C20" s="6" t="s">
        <v>22</v>
      </c>
      <c r="D20" s="6" t="s">
        <v>58</v>
      </c>
      <c r="E20" s="6" t="s">
        <v>16</v>
      </c>
      <c r="F20" s="6" t="s">
        <v>16</v>
      </c>
      <c r="G20" s="6" t="s">
        <v>16</v>
      </c>
      <c r="H20" s="6" t="s">
        <v>16</v>
      </c>
      <c r="I20" s="6">
        <v>7.0279899E9</v>
      </c>
      <c r="J20" s="11" t="s">
        <v>59</v>
      </c>
      <c r="K20" s="6" t="s">
        <v>25</v>
      </c>
      <c r="L20" s="9">
        <v>4.8</v>
      </c>
      <c r="M20" s="9">
        <v>40.0</v>
      </c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>
      <c r="A21" s="5">
        <v>20.0</v>
      </c>
      <c r="B21" s="6" t="s">
        <v>21</v>
      </c>
      <c r="C21" s="6" t="s">
        <v>22</v>
      </c>
      <c r="D21" s="6" t="s">
        <v>60</v>
      </c>
      <c r="E21" s="6" t="s">
        <v>16</v>
      </c>
      <c r="F21" s="6" t="s">
        <v>16</v>
      </c>
      <c r="G21" s="6" t="s">
        <v>16</v>
      </c>
      <c r="H21" s="6" t="s">
        <v>16</v>
      </c>
      <c r="I21" s="6">
        <v>9.254478312E9</v>
      </c>
      <c r="J21" s="11" t="s">
        <v>61</v>
      </c>
      <c r="K21" s="6" t="s">
        <v>25</v>
      </c>
      <c r="L21" s="9">
        <v>4.5</v>
      </c>
      <c r="M21" s="9">
        <v>23.0</v>
      </c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>
      <c r="A22" s="5">
        <v>21.0</v>
      </c>
      <c r="B22" s="6" t="s">
        <v>21</v>
      </c>
      <c r="C22" s="6" t="s">
        <v>22</v>
      </c>
      <c r="D22" s="6" t="s">
        <v>62</v>
      </c>
      <c r="E22" s="6" t="s">
        <v>16</v>
      </c>
      <c r="F22" s="6" t="s">
        <v>16</v>
      </c>
      <c r="G22" s="6" t="s">
        <v>16</v>
      </c>
      <c r="H22" s="6" t="s">
        <v>16</v>
      </c>
      <c r="I22" s="6">
        <v>7.404952095E9</v>
      </c>
      <c r="J22" s="11" t="s">
        <v>63</v>
      </c>
      <c r="K22" s="6" t="s">
        <v>25</v>
      </c>
      <c r="L22" s="9">
        <v>5.0</v>
      </c>
      <c r="M22" s="9">
        <v>7.0</v>
      </c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>
      <c r="A23" s="5">
        <v>22.0</v>
      </c>
      <c r="B23" s="6" t="s">
        <v>21</v>
      </c>
      <c r="C23" s="6" t="s">
        <v>22</v>
      </c>
      <c r="D23" s="6" t="s">
        <v>64</v>
      </c>
      <c r="E23" s="6" t="s">
        <v>16</v>
      </c>
      <c r="F23" s="6" t="s">
        <v>16</v>
      </c>
      <c r="G23" s="6" t="s">
        <v>16</v>
      </c>
      <c r="H23" s="6" t="s">
        <v>16</v>
      </c>
      <c r="I23" s="6">
        <v>9.315329922E9</v>
      </c>
      <c r="J23" s="11" t="s">
        <v>65</v>
      </c>
      <c r="K23" s="6" t="s">
        <v>25</v>
      </c>
      <c r="L23" s="9">
        <v>4.6</v>
      </c>
      <c r="M23" s="9">
        <v>8.0</v>
      </c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>
      <c r="A24" s="5">
        <v>23.0</v>
      </c>
      <c r="B24" s="6" t="s">
        <v>21</v>
      </c>
      <c r="C24" s="6" t="s">
        <v>22</v>
      </c>
      <c r="D24" s="6" t="s">
        <v>66</v>
      </c>
      <c r="E24" s="6" t="s">
        <v>16</v>
      </c>
      <c r="F24" s="6" t="s">
        <v>16</v>
      </c>
      <c r="G24" s="6" t="s">
        <v>16</v>
      </c>
      <c r="H24" s="6" t="s">
        <v>16</v>
      </c>
      <c r="I24" s="6">
        <v>9.466355686E9</v>
      </c>
      <c r="J24" s="11" t="s">
        <v>67</v>
      </c>
      <c r="K24" s="6" t="s">
        <v>18</v>
      </c>
      <c r="L24" s="9">
        <v>0.0</v>
      </c>
      <c r="M24" s="9">
        <v>0.0</v>
      </c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>
      <c r="A25" s="5">
        <v>24.0</v>
      </c>
      <c r="B25" s="6" t="s">
        <v>21</v>
      </c>
      <c r="C25" s="6" t="s">
        <v>22</v>
      </c>
      <c r="D25" s="6" t="s">
        <v>68</v>
      </c>
      <c r="E25" s="6" t="s">
        <v>16</v>
      </c>
      <c r="F25" s="6" t="s">
        <v>16</v>
      </c>
      <c r="G25" s="6" t="s">
        <v>16</v>
      </c>
      <c r="H25" s="6" t="s">
        <v>16</v>
      </c>
      <c r="I25" s="6">
        <v>9.416919178E9</v>
      </c>
      <c r="J25" s="11" t="s">
        <v>69</v>
      </c>
      <c r="K25" s="6" t="s">
        <v>37</v>
      </c>
      <c r="L25" s="9">
        <v>4.7</v>
      </c>
      <c r="M25" s="9">
        <v>3.0</v>
      </c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>
      <c r="A26" s="5">
        <v>25.0</v>
      </c>
      <c r="B26" s="6" t="s">
        <v>21</v>
      </c>
      <c r="C26" s="6" t="s">
        <v>22</v>
      </c>
      <c r="D26" s="6" t="s">
        <v>70</v>
      </c>
      <c r="E26" s="6" t="s">
        <v>16</v>
      </c>
      <c r="F26" s="6" t="s">
        <v>16</v>
      </c>
      <c r="G26" s="6" t="s">
        <v>16</v>
      </c>
      <c r="H26" s="6" t="s">
        <v>16</v>
      </c>
      <c r="I26" s="6">
        <v>8.295031474E9</v>
      </c>
      <c r="J26" s="11" t="s">
        <v>71</v>
      </c>
      <c r="K26" s="6" t="s">
        <v>37</v>
      </c>
      <c r="L26" s="9">
        <v>5.0</v>
      </c>
      <c r="M26" s="9">
        <v>9.0</v>
      </c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>
      <c r="A27" s="5">
        <v>26.0</v>
      </c>
      <c r="B27" s="6" t="s">
        <v>21</v>
      </c>
      <c r="C27" s="6" t="s">
        <v>22</v>
      </c>
      <c r="D27" s="6" t="s">
        <v>72</v>
      </c>
      <c r="E27" s="6" t="s">
        <v>16</v>
      </c>
      <c r="F27" s="6" t="s">
        <v>16</v>
      </c>
      <c r="G27" s="6" t="s">
        <v>16</v>
      </c>
      <c r="H27" s="6" t="s">
        <v>16</v>
      </c>
      <c r="I27" s="6">
        <v>9.034594837E9</v>
      </c>
      <c r="J27" s="11" t="s">
        <v>73</v>
      </c>
      <c r="K27" s="6" t="s">
        <v>25</v>
      </c>
      <c r="L27" s="9">
        <v>5.0</v>
      </c>
      <c r="M27" s="9">
        <v>1.0</v>
      </c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>
      <c r="A28" s="5">
        <v>27.0</v>
      </c>
      <c r="B28" s="6" t="s">
        <v>21</v>
      </c>
      <c r="C28" s="6" t="s">
        <v>22</v>
      </c>
      <c r="D28" s="6" t="s">
        <v>74</v>
      </c>
      <c r="E28" s="6" t="s">
        <v>16</v>
      </c>
      <c r="F28" s="6" t="s">
        <v>16</v>
      </c>
      <c r="G28" s="6" t="s">
        <v>16</v>
      </c>
      <c r="H28" s="6" t="s">
        <v>16</v>
      </c>
      <c r="I28" s="6">
        <v>8.059331676E9</v>
      </c>
      <c r="J28" s="11" t="s">
        <v>75</v>
      </c>
      <c r="K28" s="6" t="s">
        <v>37</v>
      </c>
      <c r="L28" s="9">
        <v>5.0</v>
      </c>
      <c r="M28" s="9">
        <v>5.0</v>
      </c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>
      <c r="A29" s="5">
        <v>28.0</v>
      </c>
      <c r="B29" s="6" t="s">
        <v>13</v>
      </c>
      <c r="C29" s="6" t="s">
        <v>76</v>
      </c>
      <c r="D29" s="6" t="s">
        <v>77</v>
      </c>
      <c r="E29" s="6" t="s">
        <v>16</v>
      </c>
      <c r="F29" s="6" t="s">
        <v>16</v>
      </c>
      <c r="G29" s="6" t="s">
        <v>16</v>
      </c>
      <c r="H29" s="6" t="s">
        <v>16</v>
      </c>
      <c r="I29" s="6">
        <f>17026563333</f>
        <v>17026563333</v>
      </c>
      <c r="J29" s="11" t="s">
        <v>78</v>
      </c>
      <c r="K29" s="6" t="s">
        <v>79</v>
      </c>
      <c r="L29" s="9">
        <v>5.0</v>
      </c>
      <c r="M29" s="9">
        <v>3.0</v>
      </c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>
      <c r="A30" s="5">
        <v>29.0</v>
      </c>
      <c r="B30" s="6" t="s">
        <v>13</v>
      </c>
      <c r="C30" s="6" t="s">
        <v>76</v>
      </c>
      <c r="D30" s="6" t="s">
        <v>80</v>
      </c>
      <c r="E30" s="6" t="s">
        <v>16</v>
      </c>
      <c r="F30" s="6" t="s">
        <v>16</v>
      </c>
      <c r="G30" s="6" t="s">
        <v>16</v>
      </c>
      <c r="H30" s="6" t="s">
        <v>16</v>
      </c>
      <c r="I30" s="6">
        <f>17023843367</f>
        <v>17023843367</v>
      </c>
      <c r="J30" s="11" t="s">
        <v>81</v>
      </c>
      <c r="K30" s="6" t="s">
        <v>79</v>
      </c>
      <c r="L30" s="9">
        <v>5.0</v>
      </c>
      <c r="M30" s="9">
        <v>1.0</v>
      </c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>
      <c r="A31" s="5">
        <v>30.0</v>
      </c>
      <c r="B31" s="6" t="s">
        <v>13</v>
      </c>
      <c r="C31" s="6" t="s">
        <v>76</v>
      </c>
      <c r="D31" s="6" t="s">
        <v>82</v>
      </c>
      <c r="E31" s="6" t="s">
        <v>16</v>
      </c>
      <c r="F31" s="6" t="s">
        <v>16</v>
      </c>
      <c r="G31" s="6" t="s">
        <v>16</v>
      </c>
      <c r="H31" s="6" t="s">
        <v>16</v>
      </c>
      <c r="I31" s="6">
        <f>17023855075</f>
        <v>17023855075</v>
      </c>
      <c r="J31" s="11" t="s">
        <v>83</v>
      </c>
      <c r="K31" s="6" t="s">
        <v>79</v>
      </c>
      <c r="L31" s="9">
        <v>4.3</v>
      </c>
      <c r="M31" s="9">
        <v>12.0</v>
      </c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>
      <c r="A32" s="5">
        <v>31.0</v>
      </c>
      <c r="B32" s="6" t="s">
        <v>13</v>
      </c>
      <c r="C32" s="6" t="s">
        <v>76</v>
      </c>
      <c r="D32" s="6" t="s">
        <v>84</v>
      </c>
      <c r="E32" s="6" t="s">
        <v>16</v>
      </c>
      <c r="F32" s="6" t="s">
        <v>16</v>
      </c>
      <c r="G32" s="6" t="s">
        <v>16</v>
      </c>
      <c r="H32" s="6" t="s">
        <v>16</v>
      </c>
      <c r="I32" s="6">
        <f>17027241700</f>
        <v>17027241700</v>
      </c>
      <c r="J32" s="11" t="s">
        <v>85</v>
      </c>
      <c r="K32" s="6" t="s">
        <v>28</v>
      </c>
      <c r="L32" s="9">
        <v>2.9</v>
      </c>
      <c r="M32" s="9">
        <v>39.0</v>
      </c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>
      <c r="A33" s="5">
        <v>32.0</v>
      </c>
      <c r="B33" s="6" t="s">
        <v>13</v>
      </c>
      <c r="C33" s="6" t="s">
        <v>76</v>
      </c>
      <c r="D33" s="6" t="s">
        <v>86</v>
      </c>
      <c r="E33" s="6" t="s">
        <v>16</v>
      </c>
      <c r="F33" s="6" t="s">
        <v>16</v>
      </c>
      <c r="G33" s="6" t="s">
        <v>16</v>
      </c>
      <c r="H33" s="6" t="s">
        <v>16</v>
      </c>
      <c r="I33" s="6">
        <f>17023884428</f>
        <v>17023884428</v>
      </c>
      <c r="J33" s="11" t="s">
        <v>87</v>
      </c>
      <c r="K33" s="6" t="s">
        <v>88</v>
      </c>
      <c r="L33" s="9">
        <v>4.4</v>
      </c>
      <c r="M33" s="9">
        <v>148.0</v>
      </c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>
      <c r="A34" s="5">
        <v>33.0</v>
      </c>
      <c r="B34" s="6" t="s">
        <v>21</v>
      </c>
      <c r="C34" s="6" t="s">
        <v>89</v>
      </c>
      <c r="D34" s="6" t="s">
        <v>90</v>
      </c>
      <c r="E34" s="6" t="s">
        <v>16</v>
      </c>
      <c r="F34" s="6" t="s">
        <v>16</v>
      </c>
      <c r="G34" s="6" t="s">
        <v>16</v>
      </c>
      <c r="H34" s="6" t="s">
        <v>16</v>
      </c>
      <c r="I34" s="6">
        <v>9.468548898E9</v>
      </c>
      <c r="J34" s="11" t="s">
        <v>91</v>
      </c>
      <c r="K34" s="6" t="s">
        <v>18</v>
      </c>
      <c r="L34" s="9">
        <v>4.8</v>
      </c>
      <c r="M34" s="9">
        <v>34.0</v>
      </c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>
      <c r="A35" s="5">
        <v>34.0</v>
      </c>
      <c r="B35" s="6" t="s">
        <v>21</v>
      </c>
      <c r="C35" s="6" t="s">
        <v>89</v>
      </c>
      <c r="D35" s="6" t="s">
        <v>92</v>
      </c>
      <c r="E35" s="6" t="s">
        <v>16</v>
      </c>
      <c r="F35" s="6" t="s">
        <v>16</v>
      </c>
      <c r="G35" s="6" t="s">
        <v>16</v>
      </c>
      <c r="H35" s="6" t="s">
        <v>16</v>
      </c>
      <c r="I35" s="6">
        <v>7.023674345E9</v>
      </c>
      <c r="J35" s="11" t="s">
        <v>93</v>
      </c>
      <c r="K35" s="6" t="s">
        <v>18</v>
      </c>
      <c r="L35" s="9">
        <v>5.0</v>
      </c>
      <c r="M35" s="9">
        <v>6.0</v>
      </c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>
      <c r="A36" s="5">
        <v>35.0</v>
      </c>
      <c r="B36" s="6" t="s">
        <v>21</v>
      </c>
      <c r="C36" s="6" t="s">
        <v>89</v>
      </c>
      <c r="D36" s="6" t="s">
        <v>94</v>
      </c>
      <c r="E36" s="6" t="s">
        <v>16</v>
      </c>
      <c r="F36" s="6" t="s">
        <v>16</v>
      </c>
      <c r="G36" s="6" t="s">
        <v>16</v>
      </c>
      <c r="H36" s="6" t="s">
        <v>16</v>
      </c>
      <c r="I36" s="6">
        <v>9.521169414E9</v>
      </c>
      <c r="J36" s="11" t="s">
        <v>95</v>
      </c>
      <c r="K36" s="6" t="s">
        <v>96</v>
      </c>
      <c r="L36" s="9">
        <v>5.0</v>
      </c>
      <c r="M36" s="9">
        <v>484.0</v>
      </c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>
      <c r="A37" s="5">
        <v>36.0</v>
      </c>
      <c r="B37" s="6" t="s">
        <v>21</v>
      </c>
      <c r="C37" s="6" t="s">
        <v>89</v>
      </c>
      <c r="D37" s="6" t="s">
        <v>97</v>
      </c>
      <c r="E37" s="6" t="s">
        <v>16</v>
      </c>
      <c r="F37" s="6" t="s">
        <v>16</v>
      </c>
      <c r="G37" s="6" t="s">
        <v>16</v>
      </c>
      <c r="H37" s="6" t="s">
        <v>16</v>
      </c>
      <c r="I37" s="6">
        <v>9.784683694E9</v>
      </c>
      <c r="J37" s="11" t="s">
        <v>98</v>
      </c>
      <c r="K37" s="6" t="s">
        <v>18</v>
      </c>
      <c r="L37" s="9">
        <v>0.0</v>
      </c>
      <c r="M37" s="9">
        <v>0.0</v>
      </c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>
      <c r="A38" s="5">
        <v>37.0</v>
      </c>
      <c r="B38" s="6" t="s">
        <v>21</v>
      </c>
      <c r="C38" s="6" t="s">
        <v>89</v>
      </c>
      <c r="D38" s="6" t="s">
        <v>99</v>
      </c>
      <c r="E38" s="6" t="s">
        <v>16</v>
      </c>
      <c r="F38" s="6" t="s">
        <v>16</v>
      </c>
      <c r="G38" s="6" t="s">
        <v>16</v>
      </c>
      <c r="H38" s="6" t="s">
        <v>16</v>
      </c>
      <c r="I38" s="6">
        <v>8.387091288E9</v>
      </c>
      <c r="J38" s="11" t="s">
        <v>100</v>
      </c>
      <c r="K38" s="6" t="s">
        <v>101</v>
      </c>
      <c r="L38" s="9">
        <v>5.0</v>
      </c>
      <c r="M38" s="9">
        <v>339.0</v>
      </c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>
      <c r="A39" s="5">
        <v>38.0</v>
      </c>
      <c r="B39" s="6" t="s">
        <v>21</v>
      </c>
      <c r="C39" s="6" t="s">
        <v>89</v>
      </c>
      <c r="D39" s="6" t="s">
        <v>102</v>
      </c>
      <c r="E39" s="6" t="s">
        <v>16</v>
      </c>
      <c r="F39" s="6" t="s">
        <v>16</v>
      </c>
      <c r="G39" s="6" t="s">
        <v>16</v>
      </c>
      <c r="H39" s="6" t="s">
        <v>16</v>
      </c>
      <c r="I39" s="6">
        <v>7.976024621E9</v>
      </c>
      <c r="J39" s="11" t="s">
        <v>103</v>
      </c>
      <c r="K39" s="6" t="s">
        <v>37</v>
      </c>
      <c r="L39" s="9">
        <v>0.0</v>
      </c>
      <c r="M39" s="9">
        <v>0.0</v>
      </c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>
      <c r="A40" s="5">
        <v>39.0</v>
      </c>
      <c r="B40" s="6" t="s">
        <v>21</v>
      </c>
      <c r="C40" s="6" t="s">
        <v>89</v>
      </c>
      <c r="D40" s="6" t="s">
        <v>104</v>
      </c>
      <c r="E40" s="6" t="s">
        <v>16</v>
      </c>
      <c r="F40" s="6" t="s">
        <v>16</v>
      </c>
      <c r="G40" s="6" t="s">
        <v>16</v>
      </c>
      <c r="H40" s="6" t="s">
        <v>16</v>
      </c>
      <c r="I40" s="6">
        <v>8.290117919E9</v>
      </c>
      <c r="J40" s="11" t="s">
        <v>105</v>
      </c>
      <c r="K40" s="6" t="s">
        <v>106</v>
      </c>
      <c r="L40" s="9">
        <v>4.4</v>
      </c>
      <c r="M40" s="9">
        <v>8.0</v>
      </c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>
      <c r="A41" s="5">
        <v>40.0</v>
      </c>
      <c r="B41" s="6" t="s">
        <v>21</v>
      </c>
      <c r="C41" s="6" t="s">
        <v>89</v>
      </c>
      <c r="D41" s="6" t="s">
        <v>107</v>
      </c>
      <c r="E41" s="6" t="s">
        <v>16</v>
      </c>
      <c r="F41" s="6" t="s">
        <v>16</v>
      </c>
      <c r="G41" s="6" t="s">
        <v>16</v>
      </c>
      <c r="H41" s="6" t="s">
        <v>16</v>
      </c>
      <c r="I41" s="6">
        <v>9.414755215E9</v>
      </c>
      <c r="J41" s="11" t="s">
        <v>108</v>
      </c>
      <c r="K41" s="6" t="s">
        <v>109</v>
      </c>
      <c r="L41" s="9">
        <v>5.0</v>
      </c>
      <c r="M41" s="9">
        <v>89.0</v>
      </c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>
      <c r="A42" s="5">
        <v>41.0</v>
      </c>
      <c r="B42" s="6" t="s">
        <v>21</v>
      </c>
      <c r="C42" s="6" t="s">
        <v>89</v>
      </c>
      <c r="D42" s="6" t="s">
        <v>110</v>
      </c>
      <c r="E42" s="6" t="s">
        <v>16</v>
      </c>
      <c r="F42" s="6" t="s">
        <v>16</v>
      </c>
      <c r="G42" s="6" t="s">
        <v>16</v>
      </c>
      <c r="H42" s="6" t="s">
        <v>16</v>
      </c>
      <c r="I42" s="6">
        <v>7.023959202E9</v>
      </c>
      <c r="J42" s="11" t="s">
        <v>111</v>
      </c>
      <c r="K42" s="6" t="s">
        <v>109</v>
      </c>
      <c r="L42" s="9">
        <v>5.0</v>
      </c>
      <c r="M42" s="9">
        <v>13.0</v>
      </c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>
      <c r="A43" s="5">
        <v>42.0</v>
      </c>
      <c r="B43" s="6" t="s">
        <v>21</v>
      </c>
      <c r="C43" s="6" t="s">
        <v>89</v>
      </c>
      <c r="D43" s="6" t="s">
        <v>112</v>
      </c>
      <c r="E43" s="6" t="s">
        <v>16</v>
      </c>
      <c r="F43" s="6" t="s">
        <v>16</v>
      </c>
      <c r="G43" s="6" t="s">
        <v>16</v>
      </c>
      <c r="H43" s="6" t="s">
        <v>16</v>
      </c>
      <c r="I43" s="6">
        <v>9.413291056E9</v>
      </c>
      <c r="J43" s="11" t="s">
        <v>113</v>
      </c>
      <c r="K43" s="6" t="s">
        <v>114</v>
      </c>
      <c r="L43" s="9">
        <v>4.6</v>
      </c>
      <c r="M43" s="9">
        <v>74.0</v>
      </c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>
      <c r="A44" s="5">
        <v>43.0</v>
      </c>
      <c r="B44" s="6" t="s">
        <v>21</v>
      </c>
      <c r="C44" s="6" t="s">
        <v>89</v>
      </c>
      <c r="D44" s="6" t="s">
        <v>107</v>
      </c>
      <c r="E44" s="6" t="s">
        <v>16</v>
      </c>
      <c r="F44" s="6" t="s">
        <v>16</v>
      </c>
      <c r="G44" s="6" t="s">
        <v>16</v>
      </c>
      <c r="H44" s="6" t="s">
        <v>16</v>
      </c>
      <c r="I44" s="6">
        <v>9.414755215E9</v>
      </c>
      <c r="J44" s="11" t="s">
        <v>108</v>
      </c>
      <c r="K44" s="6" t="s">
        <v>109</v>
      </c>
      <c r="L44" s="9">
        <v>5.0</v>
      </c>
      <c r="M44" s="9">
        <v>89.0</v>
      </c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>
      <c r="A45" s="5">
        <v>44.0</v>
      </c>
      <c r="B45" s="6" t="s">
        <v>21</v>
      </c>
      <c r="C45" s="6" t="s">
        <v>89</v>
      </c>
      <c r="D45" s="6" t="s">
        <v>115</v>
      </c>
      <c r="E45" s="6" t="s">
        <v>16</v>
      </c>
      <c r="F45" s="6" t="s">
        <v>16</v>
      </c>
      <c r="G45" s="6" t="s">
        <v>16</v>
      </c>
      <c r="H45" s="6" t="s">
        <v>16</v>
      </c>
      <c r="I45" s="6">
        <v>7.742222583E9</v>
      </c>
      <c r="J45" s="11" t="s">
        <v>116</v>
      </c>
      <c r="K45" s="6" t="s">
        <v>117</v>
      </c>
      <c r="L45" s="9">
        <v>4.8</v>
      </c>
      <c r="M45" s="9">
        <v>27.0</v>
      </c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>
      <c r="A46" s="5">
        <v>45.0</v>
      </c>
      <c r="B46" s="6" t="s">
        <v>21</v>
      </c>
      <c r="C46" s="6" t="s">
        <v>89</v>
      </c>
      <c r="D46" s="6" t="s">
        <v>118</v>
      </c>
      <c r="E46" s="6" t="s">
        <v>16</v>
      </c>
      <c r="F46" s="6" t="s">
        <v>16</v>
      </c>
      <c r="G46" s="6" t="s">
        <v>16</v>
      </c>
      <c r="H46" s="6" t="s">
        <v>16</v>
      </c>
      <c r="I46" s="6">
        <v>8.561090509E9</v>
      </c>
      <c r="J46" s="11" t="s">
        <v>119</v>
      </c>
      <c r="K46" s="6" t="s">
        <v>120</v>
      </c>
      <c r="L46" s="9">
        <v>5.0</v>
      </c>
      <c r="M46" s="9">
        <v>14.0</v>
      </c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>
      <c r="A47" s="5">
        <v>46.0</v>
      </c>
      <c r="B47" s="6" t="s">
        <v>21</v>
      </c>
      <c r="C47" s="6" t="s">
        <v>89</v>
      </c>
      <c r="D47" s="6" t="s">
        <v>121</v>
      </c>
      <c r="E47" s="6" t="s">
        <v>16</v>
      </c>
      <c r="F47" s="6" t="s">
        <v>16</v>
      </c>
      <c r="G47" s="6" t="s">
        <v>16</v>
      </c>
      <c r="H47" s="6" t="s">
        <v>16</v>
      </c>
      <c r="I47" s="6">
        <v>6.378909515E9</v>
      </c>
      <c r="J47" s="11" t="s">
        <v>122</v>
      </c>
      <c r="K47" s="6" t="s">
        <v>123</v>
      </c>
      <c r="L47" s="9">
        <v>5.0</v>
      </c>
      <c r="M47" s="9">
        <v>2.0</v>
      </c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>
      <c r="A48" s="5">
        <v>47.0</v>
      </c>
      <c r="B48" s="6" t="s">
        <v>21</v>
      </c>
      <c r="C48" s="6" t="s">
        <v>89</v>
      </c>
      <c r="D48" s="6" t="s">
        <v>124</v>
      </c>
      <c r="E48" s="6" t="s">
        <v>16</v>
      </c>
      <c r="F48" s="6" t="s">
        <v>16</v>
      </c>
      <c r="G48" s="6" t="s">
        <v>16</v>
      </c>
      <c r="H48" s="6" t="s">
        <v>16</v>
      </c>
      <c r="I48" s="6">
        <v>9.414754016E9</v>
      </c>
      <c r="J48" s="11" t="s">
        <v>125</v>
      </c>
      <c r="K48" s="6" t="s">
        <v>126</v>
      </c>
      <c r="L48" s="9">
        <v>4.9</v>
      </c>
      <c r="M48" s="9">
        <v>210.0</v>
      </c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>
      <c r="A49" s="5">
        <v>48.0</v>
      </c>
      <c r="B49" s="6" t="s">
        <v>21</v>
      </c>
      <c r="C49" s="6" t="s">
        <v>89</v>
      </c>
      <c r="D49" s="6" t="s">
        <v>127</v>
      </c>
      <c r="E49" s="6" t="s">
        <v>16</v>
      </c>
      <c r="F49" s="6" t="s">
        <v>16</v>
      </c>
      <c r="G49" s="6" t="s">
        <v>16</v>
      </c>
      <c r="H49" s="6" t="s">
        <v>16</v>
      </c>
      <c r="I49" s="6">
        <v>9.414294542E9</v>
      </c>
      <c r="J49" s="11" t="s">
        <v>128</v>
      </c>
      <c r="K49" s="6" t="s">
        <v>129</v>
      </c>
      <c r="L49" s="9">
        <v>4.4</v>
      </c>
      <c r="M49" s="9">
        <v>25.0</v>
      </c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>
      <c r="A50" s="5">
        <v>49.0</v>
      </c>
      <c r="B50" s="6" t="s">
        <v>21</v>
      </c>
      <c r="C50" s="6" t="s">
        <v>89</v>
      </c>
      <c r="D50" s="6" t="s">
        <v>130</v>
      </c>
      <c r="E50" s="6" t="s">
        <v>16</v>
      </c>
      <c r="F50" s="6" t="s">
        <v>16</v>
      </c>
      <c r="G50" s="6" t="s">
        <v>16</v>
      </c>
      <c r="H50" s="6" t="s">
        <v>16</v>
      </c>
      <c r="I50" s="6">
        <v>8.766644644E9</v>
      </c>
      <c r="J50" s="11" t="s">
        <v>131</v>
      </c>
      <c r="K50" s="6" t="s">
        <v>129</v>
      </c>
      <c r="L50" s="9">
        <v>4.3</v>
      </c>
      <c r="M50" s="9">
        <v>35.0</v>
      </c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>
      <c r="A51" s="5">
        <v>50.0</v>
      </c>
      <c r="B51" s="6" t="s">
        <v>21</v>
      </c>
      <c r="C51" s="6" t="s">
        <v>89</v>
      </c>
      <c r="D51" s="6" t="s">
        <v>132</v>
      </c>
      <c r="E51" s="6" t="s">
        <v>16</v>
      </c>
      <c r="F51" s="6" t="s">
        <v>16</v>
      </c>
      <c r="G51" s="6" t="s">
        <v>16</v>
      </c>
      <c r="H51" s="6" t="s">
        <v>16</v>
      </c>
      <c r="I51" s="6">
        <v>8.529778729E9</v>
      </c>
      <c r="J51" s="11" t="s">
        <v>133</v>
      </c>
      <c r="K51" s="6" t="s">
        <v>134</v>
      </c>
      <c r="L51" s="9">
        <v>5.0</v>
      </c>
      <c r="M51" s="9">
        <v>13.0</v>
      </c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>
      <c r="A52" s="5">
        <v>51.0</v>
      </c>
      <c r="B52" s="6" t="s">
        <v>21</v>
      </c>
      <c r="C52" s="6" t="s">
        <v>89</v>
      </c>
      <c r="D52" s="6" t="s">
        <v>135</v>
      </c>
      <c r="E52" s="6" t="s">
        <v>16</v>
      </c>
      <c r="F52" s="6" t="s">
        <v>16</v>
      </c>
      <c r="G52" s="6" t="s">
        <v>16</v>
      </c>
      <c r="H52" s="6" t="s">
        <v>16</v>
      </c>
      <c r="I52" s="6">
        <v>9.521169414E9</v>
      </c>
      <c r="J52" s="11" t="s">
        <v>136</v>
      </c>
      <c r="K52" s="6" t="s">
        <v>134</v>
      </c>
      <c r="L52" s="9">
        <v>5.0</v>
      </c>
      <c r="M52" s="9">
        <v>8.0</v>
      </c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>
      <c r="A53" s="5">
        <v>52.0</v>
      </c>
      <c r="B53" s="6" t="s">
        <v>21</v>
      </c>
      <c r="C53" s="6" t="s">
        <v>89</v>
      </c>
      <c r="D53" s="6" t="s">
        <v>137</v>
      </c>
      <c r="E53" s="6" t="s">
        <v>16</v>
      </c>
      <c r="F53" s="6" t="s">
        <v>16</v>
      </c>
      <c r="G53" s="6" t="s">
        <v>16</v>
      </c>
      <c r="H53" s="6" t="s">
        <v>16</v>
      </c>
      <c r="I53" s="6">
        <v>7.424956331E9</v>
      </c>
      <c r="J53" s="11" t="s">
        <v>138</v>
      </c>
      <c r="K53" s="6" t="s">
        <v>139</v>
      </c>
      <c r="L53" s="9">
        <v>4.8</v>
      </c>
      <c r="M53" s="9">
        <v>155.0</v>
      </c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>
      <c r="A54" s="5">
        <v>53.0</v>
      </c>
      <c r="B54" s="6" t="s">
        <v>21</v>
      </c>
      <c r="C54" s="6" t="s">
        <v>89</v>
      </c>
      <c r="D54" s="6" t="s">
        <v>140</v>
      </c>
      <c r="E54" s="6" t="s">
        <v>16</v>
      </c>
      <c r="F54" s="6" t="s">
        <v>16</v>
      </c>
      <c r="G54" s="6" t="s">
        <v>16</v>
      </c>
      <c r="H54" s="6" t="s">
        <v>16</v>
      </c>
      <c r="I54" s="6">
        <v>8.005809705E9</v>
      </c>
      <c r="J54" s="11" t="s">
        <v>141</v>
      </c>
      <c r="K54" s="6" t="s">
        <v>139</v>
      </c>
      <c r="L54" s="9">
        <v>4.9</v>
      </c>
      <c r="M54" s="9">
        <v>257.0</v>
      </c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>
      <c r="A55" s="5">
        <v>54.0</v>
      </c>
      <c r="B55" s="6" t="s">
        <v>21</v>
      </c>
      <c r="C55" s="6" t="s">
        <v>89</v>
      </c>
      <c r="D55" s="6" t="s">
        <v>142</v>
      </c>
      <c r="E55" s="6" t="s">
        <v>16</v>
      </c>
      <c r="F55" s="6" t="s">
        <v>16</v>
      </c>
      <c r="G55" s="6" t="s">
        <v>16</v>
      </c>
      <c r="H55" s="6" t="s">
        <v>16</v>
      </c>
      <c r="I55" s="6">
        <v>9.351816618E9</v>
      </c>
      <c r="J55" s="11" t="s">
        <v>143</v>
      </c>
      <c r="K55" s="6" t="s">
        <v>139</v>
      </c>
      <c r="L55" s="9">
        <v>4.8</v>
      </c>
      <c r="M55" s="9">
        <v>99.0</v>
      </c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>
      <c r="A56" s="5">
        <v>55.0</v>
      </c>
      <c r="B56" s="6" t="s">
        <v>21</v>
      </c>
      <c r="C56" s="6" t="s">
        <v>89</v>
      </c>
      <c r="D56" s="6" t="s">
        <v>144</v>
      </c>
      <c r="E56" s="6" t="s">
        <v>16</v>
      </c>
      <c r="F56" s="6" t="s">
        <v>16</v>
      </c>
      <c r="G56" s="6" t="s">
        <v>16</v>
      </c>
      <c r="H56" s="6" t="s">
        <v>16</v>
      </c>
      <c r="I56" s="6">
        <v>7.597188631E9</v>
      </c>
      <c r="J56" s="11" t="s">
        <v>145</v>
      </c>
      <c r="K56" s="6" t="s">
        <v>146</v>
      </c>
      <c r="L56" s="9">
        <v>4.6</v>
      </c>
      <c r="M56" s="9">
        <v>21.0</v>
      </c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>
      <c r="A57" s="5">
        <v>56.0</v>
      </c>
      <c r="B57" s="6" t="s">
        <v>21</v>
      </c>
      <c r="C57" s="6" t="s">
        <v>89</v>
      </c>
      <c r="D57" s="6" t="s">
        <v>112</v>
      </c>
      <c r="E57" s="6" t="s">
        <v>16</v>
      </c>
      <c r="F57" s="6" t="s">
        <v>16</v>
      </c>
      <c r="G57" s="6" t="s">
        <v>16</v>
      </c>
      <c r="H57" s="6" t="s">
        <v>16</v>
      </c>
      <c r="I57" s="6">
        <v>9.413291056E9</v>
      </c>
      <c r="J57" s="11" t="s">
        <v>113</v>
      </c>
      <c r="K57" s="6" t="s">
        <v>114</v>
      </c>
      <c r="L57" s="9">
        <v>4.6</v>
      </c>
      <c r="M57" s="9">
        <v>74.0</v>
      </c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>
      <c r="A58" s="5">
        <v>57.0</v>
      </c>
      <c r="B58" s="6" t="s">
        <v>13</v>
      </c>
      <c r="C58" s="6" t="s">
        <v>147</v>
      </c>
      <c r="D58" s="6" t="s">
        <v>148</v>
      </c>
      <c r="E58" s="6" t="s">
        <v>16</v>
      </c>
      <c r="F58" s="6" t="s">
        <v>16</v>
      </c>
      <c r="G58" s="6" t="s">
        <v>16</v>
      </c>
      <c r="H58" s="6" t="s">
        <v>16</v>
      </c>
      <c r="I58" s="6">
        <f>12132126949</f>
        <v>12132126949</v>
      </c>
      <c r="J58" s="11" t="s">
        <v>149</v>
      </c>
      <c r="K58" s="6" t="s">
        <v>150</v>
      </c>
      <c r="L58" s="9">
        <v>5.0</v>
      </c>
      <c r="M58" s="9">
        <v>12.0</v>
      </c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>
      <c r="A59" s="5">
        <v>58.0</v>
      </c>
      <c r="B59" s="6" t="s">
        <v>13</v>
      </c>
      <c r="C59" s="6" t="s">
        <v>147</v>
      </c>
      <c r="D59" s="6" t="s">
        <v>151</v>
      </c>
      <c r="E59" s="6" t="s">
        <v>16</v>
      </c>
      <c r="F59" s="6" t="s">
        <v>16</v>
      </c>
      <c r="G59" s="6" t="s">
        <v>16</v>
      </c>
      <c r="H59" s="6" t="s">
        <v>16</v>
      </c>
      <c r="I59" s="6">
        <f>12132610459</f>
        <v>12132610459</v>
      </c>
      <c r="J59" s="11" t="s">
        <v>152</v>
      </c>
      <c r="K59" s="6" t="s">
        <v>150</v>
      </c>
      <c r="L59" s="9">
        <v>5.0</v>
      </c>
      <c r="M59" s="9">
        <v>11.0</v>
      </c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>
      <c r="A60" s="5">
        <v>59.0</v>
      </c>
      <c r="B60" s="6" t="s">
        <v>13</v>
      </c>
      <c r="C60" s="6" t="s">
        <v>147</v>
      </c>
      <c r="D60" s="6" t="s">
        <v>153</v>
      </c>
      <c r="E60" s="6" t="s">
        <v>16</v>
      </c>
      <c r="F60" s="6" t="s">
        <v>16</v>
      </c>
      <c r="G60" s="6" t="s">
        <v>16</v>
      </c>
      <c r="H60" s="6" t="s">
        <v>16</v>
      </c>
      <c r="I60" s="6">
        <f>17473736447</f>
        <v>17473736447</v>
      </c>
      <c r="J60" s="11" t="s">
        <v>154</v>
      </c>
      <c r="K60" s="6" t="s">
        <v>150</v>
      </c>
      <c r="L60" s="9">
        <v>0.0</v>
      </c>
      <c r="M60" s="9">
        <v>0.0</v>
      </c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>
      <c r="A61" s="5">
        <v>60.0</v>
      </c>
      <c r="B61" s="6" t="s">
        <v>13</v>
      </c>
      <c r="C61" s="6" t="s">
        <v>147</v>
      </c>
      <c r="D61" s="6" t="s">
        <v>155</v>
      </c>
      <c r="E61" s="6" t="s">
        <v>16</v>
      </c>
      <c r="F61" s="6" t="s">
        <v>16</v>
      </c>
      <c r="G61" s="6" t="s">
        <v>16</v>
      </c>
      <c r="H61" s="6" t="s">
        <v>16</v>
      </c>
      <c r="I61" s="6">
        <f>13232655037</f>
        <v>13232655037</v>
      </c>
      <c r="J61" s="11" t="s">
        <v>156</v>
      </c>
      <c r="K61" s="6" t="s">
        <v>157</v>
      </c>
      <c r="L61" s="9">
        <v>3.0</v>
      </c>
      <c r="M61" s="9">
        <v>2.0</v>
      </c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>
      <c r="A62" s="5">
        <v>61.0</v>
      </c>
      <c r="B62" s="6" t="s">
        <v>13</v>
      </c>
      <c r="C62" s="6" t="s">
        <v>147</v>
      </c>
      <c r="D62" s="6" t="s">
        <v>158</v>
      </c>
      <c r="E62" s="6" t="s">
        <v>16</v>
      </c>
      <c r="F62" s="6" t="s">
        <v>16</v>
      </c>
      <c r="G62" s="6" t="s">
        <v>16</v>
      </c>
      <c r="H62" s="6" t="s">
        <v>16</v>
      </c>
      <c r="I62" s="6">
        <f>13103496877</f>
        <v>13103496877</v>
      </c>
      <c r="J62" s="11" t="s">
        <v>159</v>
      </c>
      <c r="K62" s="6" t="s">
        <v>157</v>
      </c>
      <c r="L62" s="9">
        <v>5.0</v>
      </c>
      <c r="M62" s="9">
        <v>9.0</v>
      </c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>
      <c r="A63" s="5">
        <v>62.0</v>
      </c>
      <c r="B63" s="6" t="s">
        <v>21</v>
      </c>
      <c r="C63" s="6" t="s">
        <v>160</v>
      </c>
      <c r="D63" s="6" t="s">
        <v>161</v>
      </c>
      <c r="E63" s="6" t="s">
        <v>16</v>
      </c>
      <c r="F63" s="6" t="s">
        <v>16</v>
      </c>
      <c r="G63" s="6" t="s">
        <v>16</v>
      </c>
      <c r="H63" s="6" t="s">
        <v>16</v>
      </c>
      <c r="I63" s="6">
        <v>9.82517109E9</v>
      </c>
      <c r="J63" s="11" t="s">
        <v>162</v>
      </c>
      <c r="K63" s="6" t="s">
        <v>25</v>
      </c>
      <c r="L63" s="9">
        <v>4.6</v>
      </c>
      <c r="M63" s="9">
        <v>19.0</v>
      </c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>
      <c r="A64" s="5">
        <v>63.0</v>
      </c>
      <c r="B64" s="6" t="s">
        <v>21</v>
      </c>
      <c r="C64" s="6" t="s">
        <v>160</v>
      </c>
      <c r="D64" s="6" t="s">
        <v>163</v>
      </c>
      <c r="E64" s="6" t="s">
        <v>16</v>
      </c>
      <c r="F64" s="6" t="s">
        <v>16</v>
      </c>
      <c r="G64" s="6" t="s">
        <v>16</v>
      </c>
      <c r="H64" s="6" t="s">
        <v>16</v>
      </c>
      <c r="I64" s="6">
        <v>2.652518135E9</v>
      </c>
      <c r="J64" s="11" t="s">
        <v>164</v>
      </c>
      <c r="K64" s="6" t="s">
        <v>165</v>
      </c>
      <c r="L64" s="9">
        <v>2.3</v>
      </c>
      <c r="M64" s="9">
        <v>144.0</v>
      </c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>
      <c r="A65" s="5">
        <v>64.0</v>
      </c>
      <c r="B65" s="6" t="s">
        <v>21</v>
      </c>
      <c r="C65" s="6" t="s">
        <v>160</v>
      </c>
      <c r="D65" s="6" t="s">
        <v>166</v>
      </c>
      <c r="E65" s="6" t="s">
        <v>16</v>
      </c>
      <c r="F65" s="6" t="s">
        <v>16</v>
      </c>
      <c r="G65" s="6" t="s">
        <v>16</v>
      </c>
      <c r="H65" s="6" t="s">
        <v>16</v>
      </c>
      <c r="I65" s="6">
        <v>7.923223987E9</v>
      </c>
      <c r="J65" s="11" t="s">
        <v>167</v>
      </c>
      <c r="K65" s="6" t="s">
        <v>165</v>
      </c>
      <c r="L65" s="9">
        <v>4.5</v>
      </c>
      <c r="M65" s="9">
        <v>2.0</v>
      </c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>
      <c r="A66" s="5">
        <v>65.0</v>
      </c>
      <c r="B66" s="6" t="s">
        <v>21</v>
      </c>
      <c r="C66" s="6" t="s">
        <v>160</v>
      </c>
      <c r="D66" s="6" t="s">
        <v>168</v>
      </c>
      <c r="E66" s="6" t="s">
        <v>16</v>
      </c>
      <c r="F66" s="6" t="s">
        <v>16</v>
      </c>
      <c r="G66" s="6" t="s">
        <v>16</v>
      </c>
      <c r="H66" s="6" t="s">
        <v>16</v>
      </c>
      <c r="I66" s="6">
        <v>7.990420149E9</v>
      </c>
      <c r="J66" s="11" t="s">
        <v>169</v>
      </c>
      <c r="K66" s="6" t="s">
        <v>170</v>
      </c>
      <c r="L66" s="9">
        <v>5.0</v>
      </c>
      <c r="M66" s="9">
        <v>46.0</v>
      </c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>
      <c r="A67" s="5">
        <v>66.0</v>
      </c>
      <c r="B67" s="6" t="s">
        <v>21</v>
      </c>
      <c r="C67" s="6" t="s">
        <v>160</v>
      </c>
      <c r="D67" s="6" t="s">
        <v>171</v>
      </c>
      <c r="E67" s="6" t="s">
        <v>16</v>
      </c>
      <c r="F67" s="6" t="s">
        <v>16</v>
      </c>
      <c r="G67" s="6" t="s">
        <v>16</v>
      </c>
      <c r="H67" s="6" t="s">
        <v>16</v>
      </c>
      <c r="I67" s="6">
        <v>8.320716106E9</v>
      </c>
      <c r="J67" s="11" t="s">
        <v>172</v>
      </c>
      <c r="K67" s="6" t="s">
        <v>170</v>
      </c>
      <c r="L67" s="9">
        <v>5.0</v>
      </c>
      <c r="M67" s="9">
        <v>37.0</v>
      </c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>
      <c r="A68" s="5">
        <v>67.0</v>
      </c>
      <c r="B68" s="6" t="s">
        <v>21</v>
      </c>
      <c r="C68" s="6" t="s">
        <v>160</v>
      </c>
      <c r="D68" s="6" t="s">
        <v>173</v>
      </c>
      <c r="E68" s="6" t="s">
        <v>16</v>
      </c>
      <c r="F68" s="6" t="s">
        <v>16</v>
      </c>
      <c r="G68" s="6" t="s">
        <v>16</v>
      </c>
      <c r="H68" s="6" t="s">
        <v>16</v>
      </c>
      <c r="I68" s="6">
        <v>9.054670862E9</v>
      </c>
      <c r="J68" s="11" t="s">
        <v>174</v>
      </c>
      <c r="K68" s="6" t="s">
        <v>175</v>
      </c>
      <c r="L68" s="9">
        <v>5.0</v>
      </c>
      <c r="M68" s="9">
        <v>732.0</v>
      </c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>
      <c r="A69" s="5">
        <v>68.0</v>
      </c>
      <c r="B69" s="6" t="s">
        <v>21</v>
      </c>
      <c r="C69" s="6" t="s">
        <v>160</v>
      </c>
      <c r="D69" s="6" t="s">
        <v>176</v>
      </c>
      <c r="E69" s="6" t="s">
        <v>16</v>
      </c>
      <c r="F69" s="6" t="s">
        <v>16</v>
      </c>
      <c r="G69" s="6" t="s">
        <v>16</v>
      </c>
      <c r="H69" s="6" t="s">
        <v>16</v>
      </c>
      <c r="I69" s="6">
        <v>7.359786462E9</v>
      </c>
      <c r="J69" s="11" t="s">
        <v>177</v>
      </c>
      <c r="K69" s="6" t="s">
        <v>178</v>
      </c>
      <c r="L69" s="9">
        <v>5.0</v>
      </c>
      <c r="M69" s="9">
        <v>13.0</v>
      </c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>
      <c r="A70" s="5">
        <v>69.0</v>
      </c>
      <c r="B70" s="6" t="s">
        <v>21</v>
      </c>
      <c r="C70" s="6" t="s">
        <v>160</v>
      </c>
      <c r="D70" s="6" t="s">
        <v>179</v>
      </c>
      <c r="E70" s="6" t="s">
        <v>16</v>
      </c>
      <c r="F70" s="6" t="s">
        <v>16</v>
      </c>
      <c r="G70" s="6" t="s">
        <v>16</v>
      </c>
      <c r="H70" s="6" t="s">
        <v>16</v>
      </c>
      <c r="I70" s="6">
        <v>9.714962625E9</v>
      </c>
      <c r="J70" s="11" t="s">
        <v>180</v>
      </c>
      <c r="K70" s="6" t="s">
        <v>170</v>
      </c>
      <c r="L70" s="9">
        <v>4.5</v>
      </c>
      <c r="M70" s="9">
        <v>33.0</v>
      </c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>
      <c r="A71" s="5">
        <v>70.0</v>
      </c>
      <c r="B71" s="6" t="s">
        <v>21</v>
      </c>
      <c r="C71" s="6" t="s">
        <v>160</v>
      </c>
      <c r="D71" s="6" t="s">
        <v>181</v>
      </c>
      <c r="E71" s="6" t="s">
        <v>16</v>
      </c>
      <c r="F71" s="6" t="s">
        <v>16</v>
      </c>
      <c r="G71" s="6" t="s">
        <v>16</v>
      </c>
      <c r="H71" s="6" t="s">
        <v>16</v>
      </c>
      <c r="I71" s="6">
        <v>8.521039726E9</v>
      </c>
      <c r="J71" s="11" t="s">
        <v>182</v>
      </c>
      <c r="K71" s="6" t="s">
        <v>183</v>
      </c>
      <c r="L71" s="9">
        <v>5.0</v>
      </c>
      <c r="M71" s="9">
        <v>1044.0</v>
      </c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>
      <c r="A72" s="5">
        <v>71.0</v>
      </c>
      <c r="B72" s="6" t="s">
        <v>21</v>
      </c>
      <c r="C72" s="6" t="s">
        <v>160</v>
      </c>
      <c r="D72" s="6" t="s">
        <v>184</v>
      </c>
      <c r="E72" s="6" t="s">
        <v>16</v>
      </c>
      <c r="F72" s="6" t="s">
        <v>16</v>
      </c>
      <c r="G72" s="6" t="s">
        <v>16</v>
      </c>
      <c r="H72" s="6" t="s">
        <v>16</v>
      </c>
      <c r="I72" s="6">
        <v>6.353885883E9</v>
      </c>
      <c r="J72" s="11" t="s">
        <v>185</v>
      </c>
      <c r="K72" s="6" t="s">
        <v>186</v>
      </c>
      <c r="L72" s="9">
        <v>4.8</v>
      </c>
      <c r="M72" s="9">
        <v>56.0</v>
      </c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>
      <c r="A73" s="5">
        <v>72.0</v>
      </c>
      <c r="B73" s="6" t="s">
        <v>21</v>
      </c>
      <c r="C73" s="6" t="s">
        <v>160</v>
      </c>
      <c r="D73" s="6" t="s">
        <v>187</v>
      </c>
      <c r="E73" s="6" t="s">
        <v>16</v>
      </c>
      <c r="F73" s="6" t="s">
        <v>16</v>
      </c>
      <c r="G73" s="6" t="s">
        <v>16</v>
      </c>
      <c r="H73" s="6" t="s">
        <v>16</v>
      </c>
      <c r="I73" s="6">
        <v>9.428901923E9</v>
      </c>
      <c r="J73" s="11" t="s">
        <v>188</v>
      </c>
      <c r="K73" s="6" t="s">
        <v>189</v>
      </c>
      <c r="L73" s="9">
        <v>4.9</v>
      </c>
      <c r="M73" s="9">
        <v>62.0</v>
      </c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>
      <c r="A74" s="5">
        <v>73.0</v>
      </c>
      <c r="B74" s="6" t="s">
        <v>21</v>
      </c>
      <c r="C74" s="6" t="s">
        <v>160</v>
      </c>
      <c r="D74" s="6" t="s">
        <v>190</v>
      </c>
      <c r="E74" s="6" t="s">
        <v>16</v>
      </c>
      <c r="F74" s="6" t="s">
        <v>16</v>
      </c>
      <c r="G74" s="6" t="s">
        <v>16</v>
      </c>
      <c r="H74" s="6" t="s">
        <v>16</v>
      </c>
      <c r="I74" s="6">
        <v>9.714295316E9</v>
      </c>
      <c r="J74" s="11" t="s">
        <v>191</v>
      </c>
      <c r="K74" s="6" t="s">
        <v>189</v>
      </c>
      <c r="L74" s="9">
        <v>5.0</v>
      </c>
      <c r="M74" s="9">
        <v>1.0</v>
      </c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>
      <c r="A75" s="5">
        <v>74.0</v>
      </c>
      <c r="B75" s="6" t="s">
        <v>21</v>
      </c>
      <c r="C75" s="6" t="s">
        <v>160</v>
      </c>
      <c r="D75" s="6" t="s">
        <v>192</v>
      </c>
      <c r="E75" s="6" t="s">
        <v>16</v>
      </c>
      <c r="F75" s="6" t="s">
        <v>16</v>
      </c>
      <c r="G75" s="6" t="s">
        <v>16</v>
      </c>
      <c r="H75" s="6" t="s">
        <v>16</v>
      </c>
      <c r="I75" s="6">
        <v>9.82539204E9</v>
      </c>
      <c r="J75" s="11" t="s">
        <v>193</v>
      </c>
      <c r="K75" s="6" t="s">
        <v>189</v>
      </c>
      <c r="L75" s="9">
        <v>0.0</v>
      </c>
      <c r="M75" s="9">
        <v>0.0</v>
      </c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>
      <c r="A76" s="5">
        <v>75.0</v>
      </c>
      <c r="B76" s="6" t="s">
        <v>21</v>
      </c>
      <c r="C76" s="6" t="s">
        <v>160</v>
      </c>
      <c r="D76" s="6" t="s">
        <v>194</v>
      </c>
      <c r="E76" s="6" t="s">
        <v>16</v>
      </c>
      <c r="F76" s="6" t="s">
        <v>16</v>
      </c>
      <c r="G76" s="6" t="s">
        <v>16</v>
      </c>
      <c r="H76" s="6" t="s">
        <v>16</v>
      </c>
      <c r="I76" s="6">
        <v>9.409669111E9</v>
      </c>
      <c r="J76" s="11" t="s">
        <v>195</v>
      </c>
      <c r="K76" s="6" t="s">
        <v>189</v>
      </c>
      <c r="L76" s="9">
        <v>5.0</v>
      </c>
      <c r="M76" s="9">
        <v>25.0</v>
      </c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>
      <c r="A77" s="5">
        <v>76.0</v>
      </c>
      <c r="B77" s="6" t="s">
        <v>21</v>
      </c>
      <c r="C77" s="6" t="s">
        <v>160</v>
      </c>
      <c r="D77" s="6" t="s">
        <v>196</v>
      </c>
      <c r="E77" s="6" t="s">
        <v>16</v>
      </c>
      <c r="F77" s="6" t="s">
        <v>16</v>
      </c>
      <c r="G77" s="6" t="s">
        <v>16</v>
      </c>
      <c r="H77" s="6" t="s">
        <v>16</v>
      </c>
      <c r="I77" s="6">
        <v>7.777955362E9</v>
      </c>
      <c r="J77" s="11" t="s">
        <v>197</v>
      </c>
      <c r="K77" s="6" t="s">
        <v>189</v>
      </c>
      <c r="L77" s="9">
        <v>5.0</v>
      </c>
      <c r="M77" s="9">
        <v>3.0</v>
      </c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>
      <c r="A78" s="5">
        <v>77.0</v>
      </c>
      <c r="B78" s="6" t="s">
        <v>21</v>
      </c>
      <c r="C78" s="6" t="s">
        <v>160</v>
      </c>
      <c r="D78" s="6" t="s">
        <v>198</v>
      </c>
      <c r="E78" s="6" t="s">
        <v>16</v>
      </c>
      <c r="F78" s="6" t="s">
        <v>16</v>
      </c>
      <c r="G78" s="6" t="s">
        <v>16</v>
      </c>
      <c r="H78" s="6" t="s">
        <v>16</v>
      </c>
      <c r="I78" s="6">
        <v>8.320868478E9</v>
      </c>
      <c r="J78" s="11" t="s">
        <v>199</v>
      </c>
      <c r="K78" s="6" t="s">
        <v>189</v>
      </c>
      <c r="L78" s="9">
        <v>0.0</v>
      </c>
      <c r="M78" s="9">
        <v>0.0</v>
      </c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>
      <c r="A79" s="5">
        <v>78.0</v>
      </c>
      <c r="B79" s="6" t="s">
        <v>21</v>
      </c>
      <c r="C79" s="6" t="s">
        <v>160</v>
      </c>
      <c r="D79" s="6" t="s">
        <v>200</v>
      </c>
      <c r="E79" s="6" t="s">
        <v>16</v>
      </c>
      <c r="F79" s="6" t="s">
        <v>16</v>
      </c>
      <c r="G79" s="6" t="s">
        <v>16</v>
      </c>
      <c r="H79" s="6" t="s">
        <v>16</v>
      </c>
      <c r="I79" s="6">
        <v>9.537365365E9</v>
      </c>
      <c r="J79" s="11" t="s">
        <v>201</v>
      </c>
      <c r="K79" s="6" t="s">
        <v>202</v>
      </c>
      <c r="L79" s="9">
        <v>4.9</v>
      </c>
      <c r="M79" s="9">
        <v>29.0</v>
      </c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>
      <c r="A80" s="5">
        <v>79.0</v>
      </c>
      <c r="B80" s="6" t="s">
        <v>21</v>
      </c>
      <c r="C80" s="6" t="s">
        <v>160</v>
      </c>
      <c r="D80" s="6" t="s">
        <v>203</v>
      </c>
      <c r="E80" s="6" t="s">
        <v>16</v>
      </c>
      <c r="F80" s="6" t="s">
        <v>16</v>
      </c>
      <c r="G80" s="6" t="s">
        <v>16</v>
      </c>
      <c r="H80" s="6" t="s">
        <v>16</v>
      </c>
      <c r="I80" s="6">
        <v>8.14198886E9</v>
      </c>
      <c r="J80" s="11" t="s">
        <v>204</v>
      </c>
      <c r="K80" s="6" t="s">
        <v>205</v>
      </c>
      <c r="L80" s="9">
        <v>5.0</v>
      </c>
      <c r="M80" s="9">
        <v>138.0</v>
      </c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>
      <c r="A81" s="5">
        <v>80.0</v>
      </c>
      <c r="B81" s="6" t="s">
        <v>21</v>
      </c>
      <c r="C81" s="6" t="s">
        <v>160</v>
      </c>
      <c r="D81" s="6" t="s">
        <v>206</v>
      </c>
      <c r="E81" s="6" t="s">
        <v>16</v>
      </c>
      <c r="F81" s="6" t="s">
        <v>16</v>
      </c>
      <c r="G81" s="6" t="s">
        <v>16</v>
      </c>
      <c r="H81" s="6" t="s">
        <v>16</v>
      </c>
      <c r="I81" s="6">
        <v>9.725075027E9</v>
      </c>
      <c r="J81" s="11" t="s">
        <v>207</v>
      </c>
      <c r="K81" s="6" t="s">
        <v>202</v>
      </c>
      <c r="L81" s="9">
        <v>4.9</v>
      </c>
      <c r="M81" s="9">
        <v>82.0</v>
      </c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>
      <c r="A82" s="5">
        <v>81.0</v>
      </c>
      <c r="B82" s="6" t="s">
        <v>21</v>
      </c>
      <c r="C82" s="6" t="s">
        <v>160</v>
      </c>
      <c r="D82" s="6" t="s">
        <v>208</v>
      </c>
      <c r="E82" s="6" t="s">
        <v>16</v>
      </c>
      <c r="F82" s="6" t="s">
        <v>16</v>
      </c>
      <c r="G82" s="6" t="s">
        <v>16</v>
      </c>
      <c r="H82" s="6" t="s">
        <v>16</v>
      </c>
      <c r="I82" s="6">
        <v>8.866370319E9</v>
      </c>
      <c r="J82" s="11" t="s">
        <v>209</v>
      </c>
      <c r="K82" s="6" t="s">
        <v>205</v>
      </c>
      <c r="L82" s="9">
        <v>5.0</v>
      </c>
      <c r="M82" s="9">
        <v>31.0</v>
      </c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>
      <c r="A83" s="5">
        <v>82.0</v>
      </c>
      <c r="B83" s="6" t="s">
        <v>21</v>
      </c>
      <c r="C83" s="6" t="s">
        <v>160</v>
      </c>
      <c r="D83" s="6" t="s">
        <v>210</v>
      </c>
      <c r="E83" s="6" t="s">
        <v>16</v>
      </c>
      <c r="F83" s="6" t="s">
        <v>16</v>
      </c>
      <c r="G83" s="6" t="s">
        <v>16</v>
      </c>
      <c r="H83" s="6" t="s">
        <v>16</v>
      </c>
      <c r="I83" s="6">
        <v>2.692232441E9</v>
      </c>
      <c r="J83" s="11" t="s">
        <v>211</v>
      </c>
      <c r="K83" s="6" t="s">
        <v>212</v>
      </c>
      <c r="L83" s="9">
        <v>4.7</v>
      </c>
      <c r="M83" s="9">
        <v>2098.0</v>
      </c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>
      <c r="A84" s="5">
        <v>83.0</v>
      </c>
      <c r="B84" s="6" t="s">
        <v>21</v>
      </c>
      <c r="C84" s="6" t="s">
        <v>160</v>
      </c>
      <c r="D84" s="6" t="s">
        <v>213</v>
      </c>
      <c r="E84" s="6" t="s">
        <v>16</v>
      </c>
      <c r="F84" s="6" t="s">
        <v>16</v>
      </c>
      <c r="G84" s="6" t="s">
        <v>16</v>
      </c>
      <c r="H84" s="6" t="s">
        <v>16</v>
      </c>
      <c r="I84" s="6">
        <v>7.35914194E9</v>
      </c>
      <c r="J84" s="11" t="s">
        <v>214</v>
      </c>
      <c r="K84" s="6" t="s">
        <v>215</v>
      </c>
      <c r="L84" s="9">
        <v>5.0</v>
      </c>
      <c r="M84" s="9">
        <v>754.0</v>
      </c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>
      <c r="A85" s="5">
        <v>84.0</v>
      </c>
      <c r="B85" s="6" t="s">
        <v>21</v>
      </c>
      <c r="C85" s="6" t="s">
        <v>160</v>
      </c>
      <c r="D85" s="6" t="s">
        <v>216</v>
      </c>
      <c r="E85" s="6" t="s">
        <v>16</v>
      </c>
      <c r="F85" s="6" t="s">
        <v>16</v>
      </c>
      <c r="G85" s="6" t="s">
        <v>16</v>
      </c>
      <c r="H85" s="6" t="s">
        <v>16</v>
      </c>
      <c r="I85" s="6">
        <v>9.104648041E9</v>
      </c>
      <c r="J85" s="11" t="s">
        <v>217</v>
      </c>
      <c r="K85" s="6" t="s">
        <v>205</v>
      </c>
      <c r="L85" s="9">
        <v>4.7</v>
      </c>
      <c r="M85" s="9">
        <v>89.0</v>
      </c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>
      <c r="A86" s="5">
        <v>85.0</v>
      </c>
      <c r="B86" s="6" t="s">
        <v>21</v>
      </c>
      <c r="C86" s="6" t="s">
        <v>160</v>
      </c>
      <c r="D86" s="6" t="s">
        <v>218</v>
      </c>
      <c r="E86" s="6" t="s">
        <v>16</v>
      </c>
      <c r="F86" s="6" t="s">
        <v>16</v>
      </c>
      <c r="G86" s="6" t="s">
        <v>16</v>
      </c>
      <c r="H86" s="6" t="s">
        <v>16</v>
      </c>
      <c r="I86" s="6">
        <v>8.140764797E9</v>
      </c>
      <c r="J86" s="11" t="s">
        <v>219</v>
      </c>
      <c r="K86" s="6" t="s">
        <v>205</v>
      </c>
      <c r="L86" s="9">
        <v>4.5</v>
      </c>
      <c r="M86" s="9">
        <v>10.0</v>
      </c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>
      <c r="A87" s="5">
        <v>86.0</v>
      </c>
      <c r="B87" s="6" t="s">
        <v>21</v>
      </c>
      <c r="C87" s="6" t="s">
        <v>160</v>
      </c>
      <c r="D87" s="6" t="s">
        <v>220</v>
      </c>
      <c r="E87" s="6" t="s">
        <v>16</v>
      </c>
      <c r="F87" s="6" t="s">
        <v>16</v>
      </c>
      <c r="G87" s="6" t="s">
        <v>16</v>
      </c>
      <c r="H87" s="6" t="s">
        <v>16</v>
      </c>
      <c r="I87" s="6">
        <v>9.71269099E9</v>
      </c>
      <c r="J87" s="11" t="s">
        <v>221</v>
      </c>
      <c r="K87" s="6" t="s">
        <v>215</v>
      </c>
      <c r="L87" s="9">
        <v>5.0</v>
      </c>
      <c r="M87" s="9">
        <v>8.0</v>
      </c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>
      <c r="A88" s="5">
        <v>87.0</v>
      </c>
      <c r="B88" s="6" t="s">
        <v>13</v>
      </c>
      <c r="C88" s="6" t="s">
        <v>14</v>
      </c>
      <c r="D88" s="6" t="s">
        <v>222</v>
      </c>
      <c r="E88" s="6" t="s">
        <v>16</v>
      </c>
      <c r="F88" s="6" t="s">
        <v>16</v>
      </c>
      <c r="G88" s="6" t="s">
        <v>16</v>
      </c>
      <c r="H88" s="6" t="s">
        <v>16</v>
      </c>
      <c r="I88" s="6">
        <f>14082749090</f>
        <v>14082749090</v>
      </c>
      <c r="J88" s="11" t="s">
        <v>223</v>
      </c>
      <c r="K88" s="6" t="s">
        <v>224</v>
      </c>
      <c r="L88" s="9">
        <v>4.3</v>
      </c>
      <c r="M88" s="9">
        <v>72.0</v>
      </c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>
      <c r="A89" s="5">
        <v>88.0</v>
      </c>
      <c r="B89" s="6" t="s">
        <v>13</v>
      </c>
      <c r="C89" s="6" t="s">
        <v>14</v>
      </c>
      <c r="D89" s="6" t="s">
        <v>225</v>
      </c>
      <c r="E89" s="6" t="s">
        <v>16</v>
      </c>
      <c r="F89" s="6" t="s">
        <v>16</v>
      </c>
      <c r="G89" s="6" t="s">
        <v>16</v>
      </c>
      <c r="H89" s="6" t="s">
        <v>16</v>
      </c>
      <c r="I89" s="6">
        <f>14087638099</f>
        <v>14087638099</v>
      </c>
      <c r="J89" s="11" t="s">
        <v>226</v>
      </c>
      <c r="K89" s="6" t="s">
        <v>109</v>
      </c>
      <c r="L89" s="9">
        <v>3.4</v>
      </c>
      <c r="M89" s="9">
        <v>18.0</v>
      </c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>
      <c r="A90" s="5">
        <v>89.0</v>
      </c>
      <c r="B90" s="6" t="s">
        <v>13</v>
      </c>
      <c r="C90" s="6" t="s">
        <v>14</v>
      </c>
      <c r="D90" s="6" t="s">
        <v>227</v>
      </c>
      <c r="E90" s="6" t="s">
        <v>16</v>
      </c>
      <c r="F90" s="6" t="s">
        <v>16</v>
      </c>
      <c r="G90" s="6" t="s">
        <v>16</v>
      </c>
      <c r="H90" s="6" t="s">
        <v>16</v>
      </c>
      <c r="I90" s="6">
        <f>14082646643</f>
        <v>14082646643</v>
      </c>
      <c r="J90" s="11" t="s">
        <v>228</v>
      </c>
      <c r="K90" s="6" t="s">
        <v>28</v>
      </c>
      <c r="L90" s="9">
        <v>5.0</v>
      </c>
      <c r="M90" s="9">
        <v>8.0</v>
      </c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>
      <c r="A91" s="5">
        <v>90.0</v>
      </c>
      <c r="B91" s="6" t="s">
        <v>13</v>
      </c>
      <c r="C91" s="6" t="s">
        <v>14</v>
      </c>
      <c r="D91" s="6" t="s">
        <v>229</v>
      </c>
      <c r="E91" s="6" t="s">
        <v>16</v>
      </c>
      <c r="F91" s="6" t="s">
        <v>16</v>
      </c>
      <c r="G91" s="6" t="s">
        <v>16</v>
      </c>
      <c r="H91" s="6" t="s">
        <v>16</v>
      </c>
      <c r="I91" s="6">
        <f>14082547722</f>
        <v>14082547722</v>
      </c>
      <c r="J91" s="11" t="s">
        <v>230</v>
      </c>
      <c r="K91" s="6" t="s">
        <v>109</v>
      </c>
      <c r="L91" s="9">
        <v>3.3</v>
      </c>
      <c r="M91" s="9">
        <v>11.0</v>
      </c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>
      <c r="A92" s="5">
        <v>91.0</v>
      </c>
      <c r="B92" s="6" t="s">
        <v>13</v>
      </c>
      <c r="C92" s="6" t="s">
        <v>14</v>
      </c>
      <c r="D92" s="6" t="s">
        <v>231</v>
      </c>
      <c r="E92" s="6" t="s">
        <v>16</v>
      </c>
      <c r="F92" s="6" t="s">
        <v>16</v>
      </c>
      <c r="G92" s="6" t="s">
        <v>16</v>
      </c>
      <c r="H92" s="6" t="s">
        <v>16</v>
      </c>
      <c r="I92" s="6">
        <f>14084365522</f>
        <v>14084365522</v>
      </c>
      <c r="J92" s="11" t="s">
        <v>232</v>
      </c>
      <c r="K92" s="6" t="s">
        <v>109</v>
      </c>
      <c r="L92" s="9">
        <v>4.4</v>
      </c>
      <c r="M92" s="9">
        <v>7.0</v>
      </c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>
      <c r="A93" s="5">
        <v>92.0</v>
      </c>
      <c r="B93" s="6" t="s">
        <v>21</v>
      </c>
      <c r="C93" s="6" t="s">
        <v>22</v>
      </c>
      <c r="D93" s="6" t="s">
        <v>233</v>
      </c>
      <c r="E93" s="6" t="s">
        <v>16</v>
      </c>
      <c r="F93" s="6" t="s">
        <v>16</v>
      </c>
      <c r="G93" s="6" t="s">
        <v>16</v>
      </c>
      <c r="H93" s="6" t="s">
        <v>16</v>
      </c>
      <c r="I93" s="6">
        <v>9.050055744E9</v>
      </c>
      <c r="J93" s="11" t="s">
        <v>234</v>
      </c>
      <c r="K93" s="6" t="s">
        <v>235</v>
      </c>
      <c r="L93" s="9">
        <v>5.0</v>
      </c>
      <c r="M93" s="9">
        <v>17.0</v>
      </c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>
      <c r="A94" s="5">
        <v>93.0</v>
      </c>
      <c r="B94" s="6" t="s">
        <v>21</v>
      </c>
      <c r="C94" s="6" t="s">
        <v>22</v>
      </c>
      <c r="D94" s="6" t="s">
        <v>236</v>
      </c>
      <c r="E94" s="6" t="s">
        <v>16</v>
      </c>
      <c r="F94" s="6" t="s">
        <v>16</v>
      </c>
      <c r="G94" s="6" t="s">
        <v>16</v>
      </c>
      <c r="H94" s="6" t="s">
        <v>16</v>
      </c>
      <c r="I94" s="6">
        <v>8.295044351E9</v>
      </c>
      <c r="J94" s="11" t="s">
        <v>237</v>
      </c>
      <c r="K94" s="6" t="s">
        <v>238</v>
      </c>
      <c r="L94" s="9">
        <v>5.0</v>
      </c>
      <c r="M94" s="9">
        <v>15.0</v>
      </c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>
      <c r="A95" s="5">
        <v>94.0</v>
      </c>
      <c r="B95" s="6" t="s">
        <v>21</v>
      </c>
      <c r="C95" s="6" t="s">
        <v>22</v>
      </c>
      <c r="D95" s="6" t="s">
        <v>239</v>
      </c>
      <c r="E95" s="6" t="s">
        <v>16</v>
      </c>
      <c r="F95" s="6" t="s">
        <v>16</v>
      </c>
      <c r="G95" s="6" t="s">
        <v>16</v>
      </c>
      <c r="H95" s="6" t="s">
        <v>16</v>
      </c>
      <c r="I95" s="6">
        <v>9.255745564E9</v>
      </c>
      <c r="J95" s="11" t="s">
        <v>240</v>
      </c>
      <c r="K95" s="6" t="s">
        <v>109</v>
      </c>
      <c r="L95" s="9">
        <v>5.0</v>
      </c>
      <c r="M95" s="9">
        <v>97.0</v>
      </c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>
      <c r="A96" s="5">
        <v>95.0</v>
      </c>
      <c r="B96" s="6" t="s">
        <v>21</v>
      </c>
      <c r="C96" s="6" t="s">
        <v>22</v>
      </c>
      <c r="D96" s="6" t="s">
        <v>241</v>
      </c>
      <c r="E96" s="6" t="s">
        <v>16</v>
      </c>
      <c r="F96" s="6" t="s">
        <v>16</v>
      </c>
      <c r="G96" s="6" t="s">
        <v>16</v>
      </c>
      <c r="H96" s="6" t="s">
        <v>16</v>
      </c>
      <c r="I96" s="6">
        <v>7.015496094E9</v>
      </c>
      <c r="J96" s="11" t="s">
        <v>242</v>
      </c>
      <c r="K96" s="6" t="s">
        <v>109</v>
      </c>
      <c r="L96" s="9">
        <v>5.0</v>
      </c>
      <c r="M96" s="9">
        <v>18.0</v>
      </c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>
      <c r="A97" s="5">
        <v>96.0</v>
      </c>
      <c r="B97" s="6" t="s">
        <v>21</v>
      </c>
      <c r="C97" s="6" t="s">
        <v>22</v>
      </c>
      <c r="D97" s="6" t="s">
        <v>243</v>
      </c>
      <c r="E97" s="6" t="s">
        <v>16</v>
      </c>
      <c r="F97" s="6" t="s">
        <v>16</v>
      </c>
      <c r="G97" s="6" t="s">
        <v>16</v>
      </c>
      <c r="H97" s="6" t="s">
        <v>16</v>
      </c>
      <c r="I97" s="6">
        <v>9.518672628E9</v>
      </c>
      <c r="J97" s="11" t="s">
        <v>244</v>
      </c>
      <c r="K97" s="6" t="s">
        <v>96</v>
      </c>
      <c r="L97" s="9">
        <v>4.9</v>
      </c>
      <c r="M97" s="9">
        <v>43.0</v>
      </c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>
      <c r="A98" s="5">
        <v>97.0</v>
      </c>
      <c r="B98" s="6" t="s">
        <v>21</v>
      </c>
      <c r="C98" s="6" t="s">
        <v>22</v>
      </c>
      <c r="D98" s="6" t="s">
        <v>245</v>
      </c>
      <c r="E98" s="6" t="s">
        <v>16</v>
      </c>
      <c r="F98" s="6" t="s">
        <v>16</v>
      </c>
      <c r="G98" s="6" t="s">
        <v>16</v>
      </c>
      <c r="H98" s="6" t="s">
        <v>16</v>
      </c>
      <c r="I98" s="6">
        <v>9.8122697E9</v>
      </c>
      <c r="J98" s="11" t="s">
        <v>246</v>
      </c>
      <c r="K98" s="6" t="s">
        <v>109</v>
      </c>
      <c r="L98" s="9">
        <v>4.8</v>
      </c>
      <c r="M98" s="9">
        <v>26.0</v>
      </c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>
      <c r="A99" s="5">
        <v>98.0</v>
      </c>
      <c r="B99" s="6" t="s">
        <v>21</v>
      </c>
      <c r="C99" s="6" t="s">
        <v>22</v>
      </c>
      <c r="D99" s="6" t="s">
        <v>247</v>
      </c>
      <c r="E99" s="6" t="s">
        <v>16</v>
      </c>
      <c r="F99" s="6" t="s">
        <v>16</v>
      </c>
      <c r="G99" s="6" t="s">
        <v>16</v>
      </c>
      <c r="H99" s="6" t="s">
        <v>16</v>
      </c>
      <c r="I99" s="6">
        <v>9.996535005E9</v>
      </c>
      <c r="J99" s="11" t="s">
        <v>248</v>
      </c>
      <c r="K99" s="6" t="s">
        <v>249</v>
      </c>
      <c r="L99" s="9">
        <v>4.9</v>
      </c>
      <c r="M99" s="9">
        <v>29.0</v>
      </c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>
      <c r="A100" s="5">
        <v>99.0</v>
      </c>
      <c r="B100" s="6" t="s">
        <v>21</v>
      </c>
      <c r="C100" s="6" t="s">
        <v>22</v>
      </c>
      <c r="D100" s="6" t="s">
        <v>250</v>
      </c>
      <c r="E100" s="6" t="s">
        <v>16</v>
      </c>
      <c r="F100" s="6" t="s">
        <v>16</v>
      </c>
      <c r="G100" s="6" t="s">
        <v>16</v>
      </c>
      <c r="H100" s="6" t="s">
        <v>16</v>
      </c>
      <c r="I100" s="6">
        <v>9.215316666E9</v>
      </c>
      <c r="J100" s="11" t="s">
        <v>251</v>
      </c>
      <c r="K100" s="6" t="s">
        <v>235</v>
      </c>
      <c r="L100" s="9">
        <v>5.0</v>
      </c>
      <c r="M100" s="9">
        <v>16.0</v>
      </c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>
      <c r="A101" s="5">
        <v>100.0</v>
      </c>
      <c r="B101" s="6" t="s">
        <v>21</v>
      </c>
      <c r="C101" s="6" t="s">
        <v>22</v>
      </c>
      <c r="D101" s="6" t="s">
        <v>252</v>
      </c>
      <c r="E101" s="6" t="s">
        <v>16</v>
      </c>
      <c r="F101" s="6" t="s">
        <v>16</v>
      </c>
      <c r="G101" s="6" t="s">
        <v>16</v>
      </c>
      <c r="H101" s="6" t="s">
        <v>16</v>
      </c>
      <c r="I101" s="6">
        <v>9.050332266E9</v>
      </c>
      <c r="J101" s="11" t="s">
        <v>253</v>
      </c>
      <c r="K101" s="6" t="s">
        <v>235</v>
      </c>
      <c r="L101" s="9">
        <v>5.0</v>
      </c>
      <c r="M101" s="9">
        <v>6.0</v>
      </c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>
      <c r="A102" s="5">
        <v>101.0</v>
      </c>
      <c r="B102" s="6" t="s">
        <v>21</v>
      </c>
      <c r="C102" s="6" t="s">
        <v>22</v>
      </c>
      <c r="D102" s="6" t="s">
        <v>254</v>
      </c>
      <c r="E102" s="6" t="s">
        <v>16</v>
      </c>
      <c r="F102" s="6" t="s">
        <v>16</v>
      </c>
      <c r="G102" s="6" t="s">
        <v>16</v>
      </c>
      <c r="H102" s="6" t="s">
        <v>16</v>
      </c>
      <c r="I102" s="6">
        <v>9.6715808E9</v>
      </c>
      <c r="J102" s="11" t="s">
        <v>255</v>
      </c>
      <c r="K102" s="6" t="s">
        <v>25</v>
      </c>
      <c r="L102" s="9">
        <v>4.7</v>
      </c>
      <c r="M102" s="9">
        <v>6.0</v>
      </c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>
      <c r="A103" s="5">
        <v>102.0</v>
      </c>
      <c r="B103" s="6" t="s">
        <v>21</v>
      </c>
      <c r="C103" s="6" t="s">
        <v>22</v>
      </c>
      <c r="D103" s="6" t="s">
        <v>256</v>
      </c>
      <c r="E103" s="6" t="s">
        <v>16</v>
      </c>
      <c r="F103" s="6" t="s">
        <v>16</v>
      </c>
      <c r="G103" s="6" t="s">
        <v>16</v>
      </c>
      <c r="H103" s="6" t="s">
        <v>16</v>
      </c>
      <c r="I103" s="6">
        <v>8.9308909E9</v>
      </c>
      <c r="J103" s="11" t="s">
        <v>257</v>
      </c>
      <c r="K103" s="6" t="s">
        <v>109</v>
      </c>
      <c r="L103" s="9">
        <v>5.0</v>
      </c>
      <c r="M103" s="9">
        <v>22.0</v>
      </c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>
      <c r="A104" s="5">
        <v>103.0</v>
      </c>
      <c r="B104" s="6" t="s">
        <v>21</v>
      </c>
      <c r="C104" s="6" t="s">
        <v>22</v>
      </c>
      <c r="D104" s="6" t="s">
        <v>258</v>
      </c>
      <c r="E104" s="6" t="s">
        <v>16</v>
      </c>
      <c r="F104" s="6" t="s">
        <v>16</v>
      </c>
      <c r="G104" s="6" t="s">
        <v>16</v>
      </c>
      <c r="H104" s="6" t="s">
        <v>16</v>
      </c>
      <c r="I104" s="6">
        <v>7.05618708E9</v>
      </c>
      <c r="J104" s="11" t="s">
        <v>259</v>
      </c>
      <c r="K104" s="6" t="s">
        <v>235</v>
      </c>
      <c r="L104" s="9">
        <v>0.0</v>
      </c>
      <c r="M104" s="9">
        <v>0.0</v>
      </c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>
      <c r="A105" s="5">
        <v>104.0</v>
      </c>
      <c r="B105" s="6" t="s">
        <v>21</v>
      </c>
      <c r="C105" s="6" t="s">
        <v>22</v>
      </c>
      <c r="D105" s="7" t="s">
        <v>260</v>
      </c>
      <c r="E105" s="6" t="s">
        <v>16</v>
      </c>
      <c r="F105" s="6" t="s">
        <v>16</v>
      </c>
      <c r="G105" s="6" t="s">
        <v>16</v>
      </c>
      <c r="H105" s="6" t="s">
        <v>16</v>
      </c>
      <c r="I105" s="6">
        <v>7.497883252E9</v>
      </c>
      <c r="J105" s="11" t="s">
        <v>261</v>
      </c>
      <c r="K105" s="6" t="s">
        <v>262</v>
      </c>
      <c r="L105" s="9">
        <v>5.0</v>
      </c>
      <c r="M105" s="9">
        <v>23.0</v>
      </c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>
      <c r="A106" s="5">
        <v>105.0</v>
      </c>
      <c r="B106" s="6" t="s">
        <v>21</v>
      </c>
      <c r="C106" s="6" t="s">
        <v>22</v>
      </c>
      <c r="D106" s="6" t="s">
        <v>263</v>
      </c>
      <c r="E106" s="6" t="s">
        <v>16</v>
      </c>
      <c r="F106" s="6" t="s">
        <v>16</v>
      </c>
      <c r="G106" s="6" t="s">
        <v>16</v>
      </c>
      <c r="H106" s="6" t="s">
        <v>16</v>
      </c>
      <c r="I106" s="6">
        <v>9.728640552E9</v>
      </c>
      <c r="J106" s="11" t="s">
        <v>264</v>
      </c>
      <c r="K106" s="6" t="s">
        <v>109</v>
      </c>
      <c r="L106" s="9">
        <v>5.0</v>
      </c>
      <c r="M106" s="9">
        <v>6.0</v>
      </c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>
      <c r="A107" s="5">
        <v>106.0</v>
      </c>
      <c r="B107" s="6" t="s">
        <v>21</v>
      </c>
      <c r="C107" s="6" t="s">
        <v>22</v>
      </c>
      <c r="D107" s="6" t="s">
        <v>265</v>
      </c>
      <c r="E107" s="6" t="s">
        <v>16</v>
      </c>
      <c r="F107" s="6" t="s">
        <v>16</v>
      </c>
      <c r="G107" s="6" t="s">
        <v>16</v>
      </c>
      <c r="H107" s="6" t="s">
        <v>16</v>
      </c>
      <c r="I107" s="6">
        <v>9.99222788E9</v>
      </c>
      <c r="J107" s="11" t="s">
        <v>266</v>
      </c>
      <c r="K107" s="6" t="s">
        <v>235</v>
      </c>
      <c r="L107" s="9">
        <v>4.9</v>
      </c>
      <c r="M107" s="9">
        <v>53.0</v>
      </c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>
      <c r="A108" s="5">
        <v>107.0</v>
      </c>
      <c r="B108" s="6" t="s">
        <v>21</v>
      </c>
      <c r="C108" s="6" t="s">
        <v>22</v>
      </c>
      <c r="D108" s="6" t="s">
        <v>267</v>
      </c>
      <c r="E108" s="6" t="s">
        <v>16</v>
      </c>
      <c r="F108" s="6" t="s">
        <v>16</v>
      </c>
      <c r="G108" s="6" t="s">
        <v>16</v>
      </c>
      <c r="H108" s="6" t="s">
        <v>16</v>
      </c>
      <c r="I108" s="6">
        <v>9.991265574E9</v>
      </c>
      <c r="J108" s="11" t="s">
        <v>268</v>
      </c>
      <c r="K108" s="6" t="s">
        <v>235</v>
      </c>
      <c r="L108" s="9">
        <v>5.0</v>
      </c>
      <c r="M108" s="9">
        <v>1.0</v>
      </c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>
      <c r="A109" s="5">
        <v>108.0</v>
      </c>
      <c r="B109" s="6" t="s">
        <v>21</v>
      </c>
      <c r="C109" s="6" t="s">
        <v>22</v>
      </c>
      <c r="D109" s="6" t="s">
        <v>269</v>
      </c>
      <c r="E109" s="6" t="s">
        <v>16</v>
      </c>
      <c r="F109" s="6" t="s">
        <v>16</v>
      </c>
      <c r="G109" s="6" t="s">
        <v>16</v>
      </c>
      <c r="H109" s="6" t="s">
        <v>16</v>
      </c>
      <c r="I109" s="6">
        <v>8.168362612E9</v>
      </c>
      <c r="J109" s="11" t="s">
        <v>270</v>
      </c>
      <c r="K109" s="6" t="s">
        <v>25</v>
      </c>
      <c r="L109" s="9">
        <v>4.5</v>
      </c>
      <c r="M109" s="9">
        <v>16.0</v>
      </c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>
      <c r="A110" s="5">
        <v>109.0</v>
      </c>
      <c r="B110" s="6" t="s">
        <v>21</v>
      </c>
      <c r="C110" s="6" t="s">
        <v>22</v>
      </c>
      <c r="D110" s="6" t="s">
        <v>271</v>
      </c>
      <c r="E110" s="6" t="s">
        <v>16</v>
      </c>
      <c r="F110" s="6" t="s">
        <v>16</v>
      </c>
      <c r="G110" s="6" t="s">
        <v>16</v>
      </c>
      <c r="H110" s="6" t="s">
        <v>16</v>
      </c>
      <c r="I110" s="6">
        <v>9.416943484E9</v>
      </c>
      <c r="J110" s="11" t="s">
        <v>272</v>
      </c>
      <c r="K110" s="6" t="s">
        <v>109</v>
      </c>
      <c r="L110" s="9">
        <v>5.0</v>
      </c>
      <c r="M110" s="9">
        <v>2.0</v>
      </c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>
      <c r="A111" s="5">
        <v>110.0</v>
      </c>
      <c r="B111" s="6" t="s">
        <v>21</v>
      </c>
      <c r="C111" s="6" t="s">
        <v>22</v>
      </c>
      <c r="D111" s="6" t="s">
        <v>273</v>
      </c>
      <c r="E111" s="6" t="s">
        <v>16</v>
      </c>
      <c r="F111" s="6" t="s">
        <v>16</v>
      </c>
      <c r="G111" s="6" t="s">
        <v>16</v>
      </c>
      <c r="H111" s="6" t="s">
        <v>16</v>
      </c>
      <c r="I111" s="6">
        <v>9.991764999E9</v>
      </c>
      <c r="J111" s="11" t="s">
        <v>274</v>
      </c>
      <c r="K111" s="6" t="s">
        <v>235</v>
      </c>
      <c r="L111" s="9">
        <v>4.7</v>
      </c>
      <c r="M111" s="9">
        <v>3.0</v>
      </c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>
      <c r="A112" s="5">
        <v>111.0</v>
      </c>
      <c r="B112" s="6" t="s">
        <v>21</v>
      </c>
      <c r="C112" s="6" t="s">
        <v>22</v>
      </c>
      <c r="D112" s="6" t="s">
        <v>275</v>
      </c>
      <c r="E112" s="6" t="s">
        <v>16</v>
      </c>
      <c r="F112" s="6" t="s">
        <v>16</v>
      </c>
      <c r="G112" s="6" t="s">
        <v>16</v>
      </c>
      <c r="H112" s="6" t="s">
        <v>16</v>
      </c>
      <c r="I112" s="6">
        <v>9.996161356E9</v>
      </c>
      <c r="J112" s="11" t="s">
        <v>276</v>
      </c>
      <c r="K112" s="6" t="s">
        <v>25</v>
      </c>
      <c r="L112" s="9">
        <v>4.7</v>
      </c>
      <c r="M112" s="9">
        <v>12.0</v>
      </c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>
      <c r="A113" s="5">
        <v>112.0</v>
      </c>
      <c r="B113" s="6" t="s">
        <v>21</v>
      </c>
      <c r="C113" s="6" t="s">
        <v>22</v>
      </c>
      <c r="D113" s="6" t="s">
        <v>277</v>
      </c>
      <c r="E113" s="6" t="s">
        <v>16</v>
      </c>
      <c r="F113" s="6" t="s">
        <v>16</v>
      </c>
      <c r="G113" s="6" t="s">
        <v>16</v>
      </c>
      <c r="H113" s="6" t="s">
        <v>16</v>
      </c>
      <c r="I113" s="6">
        <v>8.708230831E9</v>
      </c>
      <c r="J113" s="11" t="s">
        <v>278</v>
      </c>
      <c r="K113" s="6" t="s">
        <v>79</v>
      </c>
      <c r="L113" s="9">
        <v>0.0</v>
      </c>
      <c r="M113" s="9">
        <v>0.0</v>
      </c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>
      <c r="A114" s="5">
        <v>113.0</v>
      </c>
      <c r="B114" s="6" t="s">
        <v>21</v>
      </c>
      <c r="C114" s="6" t="s">
        <v>22</v>
      </c>
      <c r="D114" s="6" t="s">
        <v>279</v>
      </c>
      <c r="E114" s="6" t="s">
        <v>16</v>
      </c>
      <c r="F114" s="6" t="s">
        <v>16</v>
      </c>
      <c r="G114" s="6" t="s">
        <v>16</v>
      </c>
      <c r="H114" s="6" t="s">
        <v>16</v>
      </c>
      <c r="I114" s="6">
        <v>9.068856846E9</v>
      </c>
      <c r="J114" s="11" t="s">
        <v>280</v>
      </c>
      <c r="K114" s="6" t="s">
        <v>79</v>
      </c>
      <c r="L114" s="9">
        <v>5.0</v>
      </c>
      <c r="M114" s="9">
        <v>19.0</v>
      </c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>
      <c r="A115" s="5">
        <v>114.0</v>
      </c>
      <c r="B115" s="6" t="s">
        <v>21</v>
      </c>
      <c r="C115" s="6" t="s">
        <v>22</v>
      </c>
      <c r="D115" s="6" t="s">
        <v>281</v>
      </c>
      <c r="E115" s="6" t="s">
        <v>16</v>
      </c>
      <c r="F115" s="6" t="s">
        <v>16</v>
      </c>
      <c r="G115" s="6" t="s">
        <v>16</v>
      </c>
      <c r="H115" s="6" t="s">
        <v>16</v>
      </c>
      <c r="I115" s="6">
        <v>9.499161017E9</v>
      </c>
      <c r="J115" s="11" t="s">
        <v>282</v>
      </c>
      <c r="K115" s="6" t="s">
        <v>283</v>
      </c>
      <c r="L115" s="9">
        <v>4.2</v>
      </c>
      <c r="M115" s="9">
        <v>225.0</v>
      </c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>
      <c r="A116" s="5">
        <v>115.0</v>
      </c>
      <c r="B116" s="6" t="s">
        <v>21</v>
      </c>
      <c r="C116" s="6" t="s">
        <v>22</v>
      </c>
      <c r="D116" s="6" t="s">
        <v>284</v>
      </c>
      <c r="E116" s="6" t="s">
        <v>16</v>
      </c>
      <c r="F116" s="6" t="s">
        <v>16</v>
      </c>
      <c r="G116" s="6" t="s">
        <v>16</v>
      </c>
      <c r="H116" s="6" t="s">
        <v>16</v>
      </c>
      <c r="I116" s="6">
        <v>9.72888144E9</v>
      </c>
      <c r="J116" s="11" t="s">
        <v>285</v>
      </c>
      <c r="K116" s="6" t="s">
        <v>25</v>
      </c>
      <c r="L116" s="9">
        <v>3.1</v>
      </c>
      <c r="M116" s="9">
        <v>7.0</v>
      </c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>
      <c r="A117" s="5">
        <v>116.0</v>
      </c>
      <c r="B117" s="6" t="s">
        <v>21</v>
      </c>
      <c r="C117" s="6" t="s">
        <v>22</v>
      </c>
      <c r="D117" s="6" t="s">
        <v>286</v>
      </c>
      <c r="E117" s="6" t="s">
        <v>16</v>
      </c>
      <c r="F117" s="6" t="s">
        <v>16</v>
      </c>
      <c r="G117" s="6" t="s">
        <v>16</v>
      </c>
      <c r="H117" s="6" t="s">
        <v>16</v>
      </c>
      <c r="I117" s="6">
        <v>9.81234117E9</v>
      </c>
      <c r="J117" s="11" t="s">
        <v>287</v>
      </c>
      <c r="K117" s="6" t="s">
        <v>288</v>
      </c>
      <c r="L117" s="9">
        <v>2.7</v>
      </c>
      <c r="M117" s="9">
        <v>29.0</v>
      </c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>
      <c r="A118" s="5">
        <v>117.0</v>
      </c>
      <c r="B118" s="6" t="s">
        <v>13</v>
      </c>
      <c r="C118" s="6" t="s">
        <v>14</v>
      </c>
      <c r="D118" s="6" t="s">
        <v>289</v>
      </c>
      <c r="E118" s="6" t="s">
        <v>16</v>
      </c>
      <c r="F118" s="6" t="s">
        <v>16</v>
      </c>
      <c r="G118" s="6" t="s">
        <v>16</v>
      </c>
      <c r="H118" s="6" t="s">
        <v>16</v>
      </c>
      <c r="I118" s="6">
        <f>14086062333</f>
        <v>14086062333</v>
      </c>
      <c r="J118" s="11" t="s">
        <v>290</v>
      </c>
      <c r="K118" s="6" t="s">
        <v>109</v>
      </c>
      <c r="L118" s="9">
        <v>5.0</v>
      </c>
      <c r="M118" s="9">
        <v>22.0</v>
      </c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>
      <c r="A119" s="5">
        <v>118.0</v>
      </c>
      <c r="B119" s="6" t="s">
        <v>13</v>
      </c>
      <c r="C119" s="6" t="s">
        <v>14</v>
      </c>
      <c r="D119" s="6" t="s">
        <v>291</v>
      </c>
      <c r="E119" s="6" t="s">
        <v>16</v>
      </c>
      <c r="F119" s="6" t="s">
        <v>16</v>
      </c>
      <c r="G119" s="6" t="s">
        <v>16</v>
      </c>
      <c r="H119" s="6" t="s">
        <v>16</v>
      </c>
      <c r="I119" s="6">
        <f>14089939200</f>
        <v>14089939200</v>
      </c>
      <c r="J119" s="11" t="s">
        <v>292</v>
      </c>
      <c r="K119" s="6" t="s">
        <v>189</v>
      </c>
      <c r="L119" s="9">
        <v>5.0</v>
      </c>
      <c r="M119" s="9">
        <v>5.0</v>
      </c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>
      <c r="A120" s="5">
        <v>119.0</v>
      </c>
      <c r="B120" s="6" t="s">
        <v>13</v>
      </c>
      <c r="C120" s="6" t="s">
        <v>14</v>
      </c>
      <c r="D120" s="6" t="s">
        <v>293</v>
      </c>
      <c r="E120" s="6" t="s">
        <v>16</v>
      </c>
      <c r="F120" s="6" t="s">
        <v>16</v>
      </c>
      <c r="G120" s="6" t="s">
        <v>16</v>
      </c>
      <c r="H120" s="6" t="s">
        <v>16</v>
      </c>
      <c r="I120" s="6">
        <f>14086342670</f>
        <v>14086342670</v>
      </c>
      <c r="J120" s="11" t="s">
        <v>294</v>
      </c>
      <c r="K120" s="6" t="s">
        <v>109</v>
      </c>
      <c r="L120" s="9">
        <v>5.0</v>
      </c>
      <c r="M120" s="9">
        <v>4.0</v>
      </c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>
      <c r="A121" s="5">
        <v>120.0</v>
      </c>
      <c r="B121" s="6" t="s">
        <v>13</v>
      </c>
      <c r="C121" s="6" t="s">
        <v>14</v>
      </c>
      <c r="D121" s="6" t="s">
        <v>295</v>
      </c>
      <c r="E121" s="6" t="s">
        <v>16</v>
      </c>
      <c r="F121" s="6" t="s">
        <v>16</v>
      </c>
      <c r="G121" s="6" t="s">
        <v>16</v>
      </c>
      <c r="H121" s="6" t="s">
        <v>16</v>
      </c>
      <c r="I121" s="6">
        <f>14082591818</f>
        <v>14082591818</v>
      </c>
      <c r="J121" s="11" t="s">
        <v>296</v>
      </c>
      <c r="K121" s="6" t="s">
        <v>297</v>
      </c>
      <c r="L121" s="9">
        <v>3.1</v>
      </c>
      <c r="M121" s="9">
        <v>38.0</v>
      </c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>
      <c r="A122" s="5">
        <v>121.0</v>
      </c>
      <c r="B122" s="6" t="s">
        <v>13</v>
      </c>
      <c r="C122" s="6" t="s">
        <v>14</v>
      </c>
      <c r="D122" s="6" t="s">
        <v>298</v>
      </c>
      <c r="E122" s="6" t="s">
        <v>16</v>
      </c>
      <c r="F122" s="6" t="s">
        <v>16</v>
      </c>
      <c r="G122" s="6" t="s">
        <v>16</v>
      </c>
      <c r="H122" s="6" t="s">
        <v>16</v>
      </c>
      <c r="I122" s="6">
        <f>14085782020</f>
        <v>14085782020</v>
      </c>
      <c r="J122" s="11" t="s">
        <v>299</v>
      </c>
      <c r="K122" s="6" t="s">
        <v>297</v>
      </c>
      <c r="L122" s="9">
        <v>4.8</v>
      </c>
      <c r="M122" s="9">
        <v>304.0</v>
      </c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>
      <c r="A123" s="5">
        <v>122.0</v>
      </c>
      <c r="B123" s="6" t="s">
        <v>21</v>
      </c>
      <c r="C123" s="6" t="s">
        <v>89</v>
      </c>
      <c r="D123" s="6" t="s">
        <v>300</v>
      </c>
      <c r="E123" s="6" t="s">
        <v>16</v>
      </c>
      <c r="F123" s="6" t="s">
        <v>16</v>
      </c>
      <c r="G123" s="6" t="s">
        <v>16</v>
      </c>
      <c r="H123" s="6" t="s">
        <v>16</v>
      </c>
      <c r="I123" s="6">
        <v>7.85192749E9</v>
      </c>
      <c r="J123" s="11" t="s">
        <v>301</v>
      </c>
      <c r="K123" s="6" t="s">
        <v>238</v>
      </c>
      <c r="L123" s="9">
        <v>3.0</v>
      </c>
      <c r="M123" s="9">
        <v>2.0</v>
      </c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>
      <c r="A124" s="5">
        <v>123.0</v>
      </c>
      <c r="B124" s="6" t="s">
        <v>21</v>
      </c>
      <c r="C124" s="6" t="s">
        <v>89</v>
      </c>
      <c r="D124" s="6" t="s">
        <v>302</v>
      </c>
      <c r="E124" s="6" t="s">
        <v>16</v>
      </c>
      <c r="F124" s="6" t="s">
        <v>16</v>
      </c>
      <c r="G124" s="6" t="s">
        <v>16</v>
      </c>
      <c r="H124" s="6" t="s">
        <v>16</v>
      </c>
      <c r="I124" s="6">
        <v>9.057970147E9</v>
      </c>
      <c r="J124" s="11" t="s">
        <v>303</v>
      </c>
      <c r="K124" s="6" t="s">
        <v>304</v>
      </c>
      <c r="L124" s="9">
        <v>0.0</v>
      </c>
      <c r="M124" s="9">
        <v>0.0</v>
      </c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>
      <c r="A125" s="5">
        <v>124.0</v>
      </c>
      <c r="B125" s="6" t="s">
        <v>21</v>
      </c>
      <c r="C125" s="6" t="s">
        <v>89</v>
      </c>
      <c r="D125" s="6" t="s">
        <v>305</v>
      </c>
      <c r="E125" s="6" t="s">
        <v>16</v>
      </c>
      <c r="F125" s="6" t="s">
        <v>16</v>
      </c>
      <c r="G125" s="6" t="s">
        <v>16</v>
      </c>
      <c r="H125" s="6" t="s">
        <v>16</v>
      </c>
      <c r="I125" s="6">
        <v>7.014007492E9</v>
      </c>
      <c r="J125" s="11" t="s">
        <v>306</v>
      </c>
      <c r="K125" s="6" t="s">
        <v>307</v>
      </c>
      <c r="L125" s="9">
        <v>0.0</v>
      </c>
      <c r="M125" s="9">
        <v>0.0</v>
      </c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>
      <c r="A126" s="5">
        <v>125.0</v>
      </c>
      <c r="B126" s="6" t="s">
        <v>21</v>
      </c>
      <c r="C126" s="6" t="s">
        <v>89</v>
      </c>
      <c r="D126" s="6" t="s">
        <v>308</v>
      </c>
      <c r="E126" s="6" t="s">
        <v>16</v>
      </c>
      <c r="F126" s="6" t="s">
        <v>16</v>
      </c>
      <c r="G126" s="6" t="s">
        <v>16</v>
      </c>
      <c r="H126" s="6" t="s">
        <v>16</v>
      </c>
      <c r="I126" s="6">
        <v>7.568946665E9</v>
      </c>
      <c r="J126" s="11" t="s">
        <v>309</v>
      </c>
      <c r="K126" s="6" t="s">
        <v>310</v>
      </c>
      <c r="L126" s="9">
        <v>4.3</v>
      </c>
      <c r="M126" s="9">
        <v>18.0</v>
      </c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>
      <c r="A127" s="5">
        <v>126.0</v>
      </c>
      <c r="B127" s="6" t="s">
        <v>21</v>
      </c>
      <c r="C127" s="6" t="s">
        <v>89</v>
      </c>
      <c r="D127" s="6" t="s">
        <v>311</v>
      </c>
      <c r="E127" s="6" t="s">
        <v>16</v>
      </c>
      <c r="F127" s="6" t="s">
        <v>16</v>
      </c>
      <c r="G127" s="6" t="s">
        <v>16</v>
      </c>
      <c r="H127" s="6" t="s">
        <v>16</v>
      </c>
      <c r="I127" s="6">
        <v>7.01435413E9</v>
      </c>
      <c r="J127" s="11" t="s">
        <v>312</v>
      </c>
      <c r="K127" s="6" t="s">
        <v>313</v>
      </c>
      <c r="L127" s="9">
        <v>5.0</v>
      </c>
      <c r="M127" s="9">
        <v>1.0</v>
      </c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>
      <c r="A128" s="5">
        <v>127.0</v>
      </c>
      <c r="B128" s="6" t="s">
        <v>21</v>
      </c>
      <c r="C128" s="6" t="s">
        <v>89</v>
      </c>
      <c r="D128" s="6" t="s">
        <v>314</v>
      </c>
      <c r="E128" s="6" t="s">
        <v>16</v>
      </c>
      <c r="F128" s="6" t="s">
        <v>16</v>
      </c>
      <c r="G128" s="6" t="s">
        <v>16</v>
      </c>
      <c r="H128" s="6" t="s">
        <v>16</v>
      </c>
      <c r="I128" s="6">
        <v>9.460461427E9</v>
      </c>
      <c r="J128" s="11" t="s">
        <v>315</v>
      </c>
      <c r="K128" s="6" t="s">
        <v>313</v>
      </c>
      <c r="L128" s="9">
        <v>0.0</v>
      </c>
      <c r="M128" s="9">
        <v>0.0</v>
      </c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>
      <c r="A129" s="5">
        <v>128.0</v>
      </c>
      <c r="B129" s="6" t="s">
        <v>21</v>
      </c>
      <c r="C129" s="6" t="s">
        <v>89</v>
      </c>
      <c r="D129" s="6" t="s">
        <v>316</v>
      </c>
      <c r="E129" s="6" t="s">
        <v>16</v>
      </c>
      <c r="F129" s="6" t="s">
        <v>16</v>
      </c>
      <c r="G129" s="6" t="s">
        <v>16</v>
      </c>
      <c r="H129" s="6" t="s">
        <v>16</v>
      </c>
      <c r="I129" s="6">
        <v>9.549601212E9</v>
      </c>
      <c r="J129" s="11" t="s">
        <v>317</v>
      </c>
      <c r="K129" s="6" t="s">
        <v>165</v>
      </c>
      <c r="L129" s="9">
        <v>5.0</v>
      </c>
      <c r="M129" s="9">
        <v>1.0</v>
      </c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>
      <c r="A130" s="5">
        <v>129.0</v>
      </c>
      <c r="B130" s="6" t="s">
        <v>21</v>
      </c>
      <c r="C130" s="6" t="s">
        <v>89</v>
      </c>
      <c r="D130" s="6" t="s">
        <v>318</v>
      </c>
      <c r="E130" s="6" t="s">
        <v>16</v>
      </c>
      <c r="F130" s="6" t="s">
        <v>16</v>
      </c>
      <c r="G130" s="6" t="s">
        <v>16</v>
      </c>
      <c r="H130" s="6" t="s">
        <v>16</v>
      </c>
      <c r="I130" s="6">
        <v>9.462452786E9</v>
      </c>
      <c r="J130" s="11" t="s">
        <v>319</v>
      </c>
      <c r="K130" s="6" t="s">
        <v>320</v>
      </c>
      <c r="L130" s="9">
        <v>0.0</v>
      </c>
      <c r="M130" s="9">
        <v>0.0</v>
      </c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>
      <c r="A131" s="5">
        <v>130.0</v>
      </c>
      <c r="B131" s="6" t="s">
        <v>21</v>
      </c>
      <c r="C131" s="6" t="s">
        <v>89</v>
      </c>
      <c r="D131" s="6" t="s">
        <v>321</v>
      </c>
      <c r="E131" s="6" t="s">
        <v>16</v>
      </c>
      <c r="F131" s="6" t="s">
        <v>16</v>
      </c>
      <c r="G131" s="6" t="s">
        <v>16</v>
      </c>
      <c r="H131" s="6" t="s">
        <v>16</v>
      </c>
      <c r="I131" s="6">
        <v>9.468553269E9</v>
      </c>
      <c r="J131" s="11" t="s">
        <v>322</v>
      </c>
      <c r="K131" s="6" t="s">
        <v>175</v>
      </c>
      <c r="L131" s="9">
        <v>5.0</v>
      </c>
      <c r="M131" s="9">
        <v>19.0</v>
      </c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>
      <c r="A132" s="5">
        <v>131.0</v>
      </c>
      <c r="B132" s="6" t="s">
        <v>21</v>
      </c>
      <c r="C132" s="6" t="s">
        <v>89</v>
      </c>
      <c r="D132" s="6" t="s">
        <v>323</v>
      </c>
      <c r="E132" s="6" t="s">
        <v>16</v>
      </c>
      <c r="F132" s="6" t="s">
        <v>16</v>
      </c>
      <c r="G132" s="6" t="s">
        <v>16</v>
      </c>
      <c r="H132" s="6" t="s">
        <v>16</v>
      </c>
      <c r="I132" s="6">
        <v>9.6604253E9</v>
      </c>
      <c r="J132" s="11" t="s">
        <v>324</v>
      </c>
      <c r="K132" s="6" t="s">
        <v>175</v>
      </c>
      <c r="L132" s="9">
        <v>5.0</v>
      </c>
      <c r="M132" s="9">
        <v>16.0</v>
      </c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>
      <c r="A133" s="5">
        <v>132.0</v>
      </c>
      <c r="B133" s="6" t="s">
        <v>21</v>
      </c>
      <c r="C133" s="6" t="s">
        <v>89</v>
      </c>
      <c r="D133" s="6" t="s">
        <v>325</v>
      </c>
      <c r="E133" s="6" t="s">
        <v>16</v>
      </c>
      <c r="F133" s="6" t="s">
        <v>16</v>
      </c>
      <c r="G133" s="6" t="s">
        <v>16</v>
      </c>
      <c r="H133" s="6" t="s">
        <v>16</v>
      </c>
      <c r="I133" s="6">
        <v>9.828030197E9</v>
      </c>
      <c r="J133" s="11" t="s">
        <v>326</v>
      </c>
      <c r="K133" s="6" t="s">
        <v>327</v>
      </c>
      <c r="L133" s="9">
        <v>4.4</v>
      </c>
      <c r="M133" s="9">
        <v>50.0</v>
      </c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>
      <c r="A134" s="5">
        <v>133.0</v>
      </c>
      <c r="B134" s="6" t="s">
        <v>21</v>
      </c>
      <c r="C134" s="6" t="s">
        <v>89</v>
      </c>
      <c r="D134" s="6" t="s">
        <v>328</v>
      </c>
      <c r="E134" s="6" t="s">
        <v>16</v>
      </c>
      <c r="F134" s="6" t="s">
        <v>16</v>
      </c>
      <c r="G134" s="6" t="s">
        <v>16</v>
      </c>
      <c r="H134" s="6" t="s">
        <v>16</v>
      </c>
      <c r="I134" s="6">
        <v>8.949296486E9</v>
      </c>
      <c r="J134" s="11" t="s">
        <v>329</v>
      </c>
      <c r="K134" s="6" t="s">
        <v>327</v>
      </c>
      <c r="L134" s="9">
        <v>4.8</v>
      </c>
      <c r="M134" s="9">
        <v>85.0</v>
      </c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>
      <c r="A135" s="5">
        <v>134.0</v>
      </c>
      <c r="B135" s="6" t="s">
        <v>21</v>
      </c>
      <c r="C135" s="6" t="s">
        <v>89</v>
      </c>
      <c r="D135" s="6" t="s">
        <v>330</v>
      </c>
      <c r="E135" s="6" t="s">
        <v>16</v>
      </c>
      <c r="F135" s="6" t="s">
        <v>16</v>
      </c>
      <c r="G135" s="6" t="s">
        <v>16</v>
      </c>
      <c r="H135" s="6" t="s">
        <v>16</v>
      </c>
      <c r="I135" s="6">
        <v>9.460579295E9</v>
      </c>
      <c r="J135" s="11" t="s">
        <v>331</v>
      </c>
      <c r="K135" s="6" t="s">
        <v>327</v>
      </c>
      <c r="L135" s="9">
        <v>5.0</v>
      </c>
      <c r="M135" s="9">
        <v>17.0</v>
      </c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>
      <c r="A136" s="5">
        <v>135.0</v>
      </c>
      <c r="B136" s="6" t="s">
        <v>21</v>
      </c>
      <c r="C136" s="6" t="s">
        <v>89</v>
      </c>
      <c r="D136" s="6" t="s">
        <v>332</v>
      </c>
      <c r="E136" s="6" t="s">
        <v>16</v>
      </c>
      <c r="F136" s="6" t="s">
        <v>16</v>
      </c>
      <c r="G136" s="6" t="s">
        <v>16</v>
      </c>
      <c r="H136" s="6" t="s">
        <v>16</v>
      </c>
      <c r="I136" s="6">
        <v>9.587960574E9</v>
      </c>
      <c r="J136" s="11" t="s">
        <v>333</v>
      </c>
      <c r="K136" s="6" t="s">
        <v>327</v>
      </c>
      <c r="L136" s="9">
        <v>5.0</v>
      </c>
      <c r="M136" s="9">
        <v>147.0</v>
      </c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>
      <c r="A137" s="5">
        <v>136.0</v>
      </c>
      <c r="B137" s="6" t="s">
        <v>21</v>
      </c>
      <c r="C137" s="6" t="s">
        <v>89</v>
      </c>
      <c r="D137" s="6" t="s">
        <v>334</v>
      </c>
      <c r="E137" s="6" t="s">
        <v>16</v>
      </c>
      <c r="F137" s="6" t="s">
        <v>16</v>
      </c>
      <c r="G137" s="6" t="s">
        <v>16</v>
      </c>
      <c r="H137" s="6" t="s">
        <v>16</v>
      </c>
      <c r="I137" s="6">
        <v>8.561066876E9</v>
      </c>
      <c r="J137" s="11" t="s">
        <v>335</v>
      </c>
      <c r="K137" s="6" t="s">
        <v>327</v>
      </c>
      <c r="L137" s="9">
        <v>5.0</v>
      </c>
      <c r="M137" s="9">
        <v>41.0</v>
      </c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>
      <c r="A138" s="5">
        <v>137.0</v>
      </c>
      <c r="B138" s="6" t="s">
        <v>21</v>
      </c>
      <c r="C138" s="6" t="s">
        <v>89</v>
      </c>
      <c r="D138" s="6" t="s">
        <v>336</v>
      </c>
      <c r="E138" s="6" t="s">
        <v>16</v>
      </c>
      <c r="F138" s="6" t="s">
        <v>16</v>
      </c>
      <c r="G138" s="6" t="s">
        <v>16</v>
      </c>
      <c r="H138" s="6" t="s">
        <v>16</v>
      </c>
      <c r="I138" s="6">
        <v>9.413744841E9</v>
      </c>
      <c r="J138" s="11" t="s">
        <v>337</v>
      </c>
      <c r="K138" s="6" t="s">
        <v>327</v>
      </c>
      <c r="L138" s="9">
        <v>5.0</v>
      </c>
      <c r="M138" s="9">
        <v>9.0</v>
      </c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>
      <c r="A139" s="5">
        <v>138.0</v>
      </c>
      <c r="B139" s="6" t="s">
        <v>21</v>
      </c>
      <c r="C139" s="6" t="s">
        <v>89</v>
      </c>
      <c r="D139" s="6" t="s">
        <v>338</v>
      </c>
      <c r="E139" s="6" t="s">
        <v>16</v>
      </c>
      <c r="F139" s="6" t="s">
        <v>16</v>
      </c>
      <c r="G139" s="6" t="s">
        <v>16</v>
      </c>
      <c r="H139" s="6" t="s">
        <v>16</v>
      </c>
      <c r="I139" s="6">
        <v>9.461286602E9</v>
      </c>
      <c r="J139" s="11" t="s">
        <v>339</v>
      </c>
      <c r="K139" s="6" t="s">
        <v>327</v>
      </c>
      <c r="L139" s="9">
        <v>3.0</v>
      </c>
      <c r="M139" s="9">
        <v>1.0</v>
      </c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>
      <c r="A140" s="5">
        <v>139.0</v>
      </c>
      <c r="B140" s="6" t="s">
        <v>21</v>
      </c>
      <c r="C140" s="6" t="s">
        <v>89</v>
      </c>
      <c r="D140" s="6" t="s">
        <v>340</v>
      </c>
      <c r="E140" s="6" t="s">
        <v>16</v>
      </c>
      <c r="F140" s="6" t="s">
        <v>16</v>
      </c>
      <c r="G140" s="6" t="s">
        <v>16</v>
      </c>
      <c r="H140" s="6" t="s">
        <v>16</v>
      </c>
      <c r="I140" s="6">
        <v>9.928250373E9</v>
      </c>
      <c r="J140" s="11" t="s">
        <v>341</v>
      </c>
      <c r="K140" s="6" t="s">
        <v>342</v>
      </c>
      <c r="L140" s="9">
        <v>4.0</v>
      </c>
      <c r="M140" s="9">
        <v>8.0</v>
      </c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>
      <c r="A141" s="5">
        <v>140.0</v>
      </c>
      <c r="B141" s="6" t="s">
        <v>21</v>
      </c>
      <c r="C141" s="6" t="s">
        <v>89</v>
      </c>
      <c r="D141" s="6" t="s">
        <v>343</v>
      </c>
      <c r="E141" s="6" t="s">
        <v>16</v>
      </c>
      <c r="F141" s="6" t="s">
        <v>16</v>
      </c>
      <c r="G141" s="6" t="s">
        <v>16</v>
      </c>
      <c r="H141" s="6" t="s">
        <v>16</v>
      </c>
      <c r="I141" s="6">
        <v>7.726975124E9</v>
      </c>
      <c r="J141" s="11" t="s">
        <v>344</v>
      </c>
      <c r="K141" s="6" t="s">
        <v>327</v>
      </c>
      <c r="L141" s="9">
        <v>5.0</v>
      </c>
      <c r="M141" s="9">
        <v>2.0</v>
      </c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>
      <c r="A142" s="5">
        <v>141.0</v>
      </c>
      <c r="B142" s="6" t="s">
        <v>21</v>
      </c>
      <c r="C142" s="6" t="s">
        <v>89</v>
      </c>
      <c r="D142" s="12" t="s">
        <v>345</v>
      </c>
      <c r="E142" s="6" t="s">
        <v>16</v>
      </c>
      <c r="F142" s="6" t="s">
        <v>16</v>
      </c>
      <c r="G142" s="6" t="s">
        <v>16</v>
      </c>
      <c r="H142" s="6" t="s">
        <v>16</v>
      </c>
      <c r="I142" s="6">
        <v>8.209643116E9</v>
      </c>
      <c r="J142" s="11" t="s">
        <v>346</v>
      </c>
      <c r="K142" s="6" t="s">
        <v>347</v>
      </c>
      <c r="L142" s="9">
        <v>0.0</v>
      </c>
      <c r="M142" s="9">
        <v>0.0</v>
      </c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>
      <c r="A143" s="5">
        <v>142.0</v>
      </c>
      <c r="B143" s="6" t="s">
        <v>21</v>
      </c>
      <c r="C143" s="6" t="s">
        <v>89</v>
      </c>
      <c r="D143" s="6" t="s">
        <v>348</v>
      </c>
      <c r="E143" s="6" t="s">
        <v>16</v>
      </c>
      <c r="F143" s="6" t="s">
        <v>16</v>
      </c>
      <c r="G143" s="6" t="s">
        <v>16</v>
      </c>
      <c r="H143" s="6" t="s">
        <v>16</v>
      </c>
      <c r="I143" s="6">
        <v>9.694225186E9</v>
      </c>
      <c r="J143" s="11" t="s">
        <v>349</v>
      </c>
      <c r="K143" s="6" t="s">
        <v>25</v>
      </c>
      <c r="L143" s="9">
        <v>0.0</v>
      </c>
      <c r="M143" s="9">
        <v>0.0</v>
      </c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>
      <c r="A144" s="5">
        <v>143.0</v>
      </c>
      <c r="B144" s="6" t="s">
        <v>21</v>
      </c>
      <c r="C144" s="6" t="s">
        <v>89</v>
      </c>
      <c r="D144" s="6" t="s">
        <v>350</v>
      </c>
      <c r="E144" s="6" t="s">
        <v>16</v>
      </c>
      <c r="F144" s="6" t="s">
        <v>16</v>
      </c>
      <c r="G144" s="6" t="s">
        <v>16</v>
      </c>
      <c r="H144" s="6" t="s">
        <v>16</v>
      </c>
      <c r="I144" s="6">
        <v>7.568753239E9</v>
      </c>
      <c r="J144" s="11" t="s">
        <v>351</v>
      </c>
      <c r="K144" s="6" t="s">
        <v>352</v>
      </c>
      <c r="L144" s="9">
        <v>0.0</v>
      </c>
      <c r="M144" s="9">
        <v>0.0</v>
      </c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>
      <c r="A145" s="5">
        <v>144.0</v>
      </c>
      <c r="B145" s="6" t="s">
        <v>21</v>
      </c>
      <c r="C145" s="6" t="s">
        <v>89</v>
      </c>
      <c r="D145" s="6" t="s">
        <v>353</v>
      </c>
      <c r="E145" s="6" t="s">
        <v>16</v>
      </c>
      <c r="F145" s="6" t="s">
        <v>16</v>
      </c>
      <c r="G145" s="6" t="s">
        <v>16</v>
      </c>
      <c r="H145" s="6" t="s">
        <v>16</v>
      </c>
      <c r="I145" s="6">
        <v>9.351548991E9</v>
      </c>
      <c r="J145" s="11" t="s">
        <v>354</v>
      </c>
      <c r="K145" s="6" t="s">
        <v>215</v>
      </c>
      <c r="L145" s="9">
        <v>5.0</v>
      </c>
      <c r="M145" s="9">
        <v>2.0</v>
      </c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>
      <c r="A146" s="5">
        <v>145.0</v>
      </c>
      <c r="B146" s="6" t="s">
        <v>21</v>
      </c>
      <c r="C146" s="6" t="s">
        <v>89</v>
      </c>
      <c r="D146" s="6" t="s">
        <v>355</v>
      </c>
      <c r="E146" s="6" t="s">
        <v>16</v>
      </c>
      <c r="F146" s="6" t="s">
        <v>16</v>
      </c>
      <c r="G146" s="6" t="s">
        <v>16</v>
      </c>
      <c r="H146" s="6" t="s">
        <v>16</v>
      </c>
      <c r="I146" s="6">
        <v>9.079052843E9</v>
      </c>
      <c r="J146" s="11" t="s">
        <v>356</v>
      </c>
      <c r="K146" s="6" t="s">
        <v>357</v>
      </c>
      <c r="L146" s="9">
        <v>0.0</v>
      </c>
      <c r="M146" s="9">
        <v>0.0</v>
      </c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>
      <c r="A147" s="5">
        <v>146.0</v>
      </c>
      <c r="B147" s="6" t="s">
        <v>21</v>
      </c>
      <c r="C147" s="6" t="s">
        <v>89</v>
      </c>
      <c r="D147" s="7" t="s">
        <v>358</v>
      </c>
      <c r="E147" s="6" t="s">
        <v>16</v>
      </c>
      <c r="F147" s="6" t="s">
        <v>16</v>
      </c>
      <c r="G147" s="6" t="s">
        <v>16</v>
      </c>
      <c r="H147" s="6" t="s">
        <v>16</v>
      </c>
      <c r="I147" s="6">
        <v>7.59721674E9</v>
      </c>
      <c r="J147" s="11" t="s">
        <v>359</v>
      </c>
      <c r="K147" s="6" t="s">
        <v>202</v>
      </c>
      <c r="L147" s="9">
        <v>4.4</v>
      </c>
      <c r="M147" s="9">
        <v>7.0</v>
      </c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>
      <c r="A148" s="5">
        <v>147.0</v>
      </c>
      <c r="B148" s="6" t="s">
        <v>13</v>
      </c>
      <c r="C148" s="6" t="s">
        <v>76</v>
      </c>
      <c r="D148" s="6" t="s">
        <v>360</v>
      </c>
      <c r="E148" s="6" t="s">
        <v>16</v>
      </c>
      <c r="F148" s="6" t="s">
        <v>16</v>
      </c>
      <c r="G148" s="6" t="s">
        <v>16</v>
      </c>
      <c r="H148" s="6" t="s">
        <v>16</v>
      </c>
      <c r="I148" s="6">
        <f>17026165801</f>
        <v>17026165801</v>
      </c>
      <c r="J148" s="11" t="s">
        <v>361</v>
      </c>
      <c r="K148" s="6" t="s">
        <v>28</v>
      </c>
      <c r="L148" s="9">
        <v>2.0</v>
      </c>
      <c r="M148" s="9">
        <v>5.0</v>
      </c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>
      <c r="A149" s="5">
        <v>148.0</v>
      </c>
      <c r="B149" s="6" t="s">
        <v>13</v>
      </c>
      <c r="C149" s="6" t="s">
        <v>76</v>
      </c>
      <c r="D149" s="6" t="s">
        <v>362</v>
      </c>
      <c r="E149" s="6" t="s">
        <v>16</v>
      </c>
      <c r="F149" s="6" t="s">
        <v>16</v>
      </c>
      <c r="G149" s="6" t="s">
        <v>16</v>
      </c>
      <c r="H149" s="6" t="s">
        <v>16</v>
      </c>
      <c r="I149" s="6">
        <f>17023823400</f>
        <v>17023823400</v>
      </c>
      <c r="J149" s="11" t="s">
        <v>363</v>
      </c>
      <c r="K149" s="6" t="s">
        <v>364</v>
      </c>
      <c r="L149" s="9">
        <v>3.0</v>
      </c>
      <c r="M149" s="9">
        <v>2.0</v>
      </c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>
      <c r="A150" s="5">
        <v>149.0</v>
      </c>
      <c r="B150" s="6" t="s">
        <v>13</v>
      </c>
      <c r="C150" s="6" t="s">
        <v>76</v>
      </c>
      <c r="D150" s="6" t="s">
        <v>365</v>
      </c>
      <c r="E150" s="6" t="s">
        <v>16</v>
      </c>
      <c r="F150" s="6" t="s">
        <v>16</v>
      </c>
      <c r="G150" s="6" t="s">
        <v>16</v>
      </c>
      <c r="H150" s="6" t="s">
        <v>16</v>
      </c>
      <c r="I150" s="6">
        <f>17026330926</f>
        <v>17026330926</v>
      </c>
      <c r="J150" s="11" t="s">
        <v>366</v>
      </c>
      <c r="K150" s="6" t="s">
        <v>235</v>
      </c>
      <c r="L150" s="9">
        <v>0.0</v>
      </c>
      <c r="M150" s="9">
        <v>0.0</v>
      </c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>
      <c r="A151" s="5">
        <v>150.0</v>
      </c>
      <c r="B151" s="6" t="s">
        <v>13</v>
      </c>
      <c r="C151" s="6" t="s">
        <v>76</v>
      </c>
      <c r="D151" s="6" t="s">
        <v>367</v>
      </c>
      <c r="E151" s="6" t="s">
        <v>16</v>
      </c>
      <c r="F151" s="6" t="s">
        <v>16</v>
      </c>
      <c r="G151" s="6" t="s">
        <v>16</v>
      </c>
      <c r="H151" s="6" t="s">
        <v>16</v>
      </c>
      <c r="I151" s="6">
        <f>17023871331</f>
        <v>17023871331</v>
      </c>
      <c r="J151" s="11" t="s">
        <v>368</v>
      </c>
      <c r="K151" s="6" t="s">
        <v>235</v>
      </c>
      <c r="L151" s="9">
        <v>5.0</v>
      </c>
      <c r="M151" s="9">
        <v>1.0</v>
      </c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>
      <c r="A152" s="5">
        <v>151.0</v>
      </c>
      <c r="B152" s="6" t="s">
        <v>13</v>
      </c>
      <c r="C152" s="6" t="s">
        <v>76</v>
      </c>
      <c r="D152" s="6" t="s">
        <v>369</v>
      </c>
      <c r="E152" s="6" t="s">
        <v>16</v>
      </c>
      <c r="F152" s="6" t="s">
        <v>16</v>
      </c>
      <c r="G152" s="6" t="s">
        <v>16</v>
      </c>
      <c r="H152" s="6" t="s">
        <v>16</v>
      </c>
      <c r="I152" s="6">
        <f>17024770311</f>
        <v>17024770311</v>
      </c>
      <c r="J152" s="11" t="s">
        <v>370</v>
      </c>
      <c r="K152" s="6" t="s">
        <v>307</v>
      </c>
      <c r="L152" s="9">
        <v>4.1</v>
      </c>
      <c r="M152" s="9">
        <v>31.0</v>
      </c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>
      <c r="A153" s="5">
        <v>152.0</v>
      </c>
      <c r="B153" s="6" t="s">
        <v>21</v>
      </c>
      <c r="C153" s="6" t="s">
        <v>160</v>
      </c>
      <c r="D153" s="6" t="s">
        <v>371</v>
      </c>
      <c r="E153" s="6" t="s">
        <v>16</v>
      </c>
      <c r="F153" s="6" t="s">
        <v>16</v>
      </c>
      <c r="G153" s="6" t="s">
        <v>16</v>
      </c>
      <c r="H153" s="6" t="s">
        <v>16</v>
      </c>
      <c r="I153" s="6">
        <v>9.714485896E9</v>
      </c>
      <c r="J153" s="11" t="s">
        <v>372</v>
      </c>
      <c r="K153" s="6" t="s">
        <v>373</v>
      </c>
      <c r="L153" s="9">
        <v>4.8</v>
      </c>
      <c r="M153" s="9">
        <v>188.0</v>
      </c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>
      <c r="A154" s="5">
        <v>153.0</v>
      </c>
      <c r="B154" s="6" t="s">
        <v>21</v>
      </c>
      <c r="C154" s="6" t="s">
        <v>160</v>
      </c>
      <c r="D154" s="6" t="s">
        <v>374</v>
      </c>
      <c r="E154" s="6" t="s">
        <v>16</v>
      </c>
      <c r="F154" s="6" t="s">
        <v>16</v>
      </c>
      <c r="G154" s="6" t="s">
        <v>16</v>
      </c>
      <c r="H154" s="6" t="s">
        <v>16</v>
      </c>
      <c r="I154" s="6">
        <v>6.359440999E9</v>
      </c>
      <c r="J154" s="11" t="s">
        <v>375</v>
      </c>
      <c r="K154" s="6" t="s">
        <v>373</v>
      </c>
      <c r="L154" s="9">
        <v>5.0</v>
      </c>
      <c r="M154" s="9">
        <v>149.0</v>
      </c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>
      <c r="A155" s="5">
        <v>154.0</v>
      </c>
      <c r="B155" s="6" t="s">
        <v>21</v>
      </c>
      <c r="C155" s="6" t="s">
        <v>160</v>
      </c>
      <c r="D155" s="6" t="s">
        <v>376</v>
      </c>
      <c r="E155" s="6" t="s">
        <v>16</v>
      </c>
      <c r="F155" s="6" t="s">
        <v>16</v>
      </c>
      <c r="G155" s="6" t="s">
        <v>16</v>
      </c>
      <c r="H155" s="6" t="s">
        <v>16</v>
      </c>
      <c r="I155" s="6">
        <v>9.099561236E9</v>
      </c>
      <c r="J155" s="11" t="s">
        <v>377</v>
      </c>
      <c r="K155" s="6" t="s">
        <v>373</v>
      </c>
      <c r="L155" s="9">
        <v>4.9</v>
      </c>
      <c r="M155" s="9">
        <v>105.0</v>
      </c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>
      <c r="A156" s="5">
        <v>155.0</v>
      </c>
      <c r="B156" s="6" t="s">
        <v>21</v>
      </c>
      <c r="C156" s="6" t="s">
        <v>160</v>
      </c>
      <c r="D156" s="6" t="s">
        <v>378</v>
      </c>
      <c r="E156" s="6" t="s">
        <v>16</v>
      </c>
      <c r="F156" s="6" t="s">
        <v>16</v>
      </c>
      <c r="G156" s="6" t="s">
        <v>16</v>
      </c>
      <c r="H156" s="6" t="s">
        <v>16</v>
      </c>
      <c r="I156" s="6">
        <v>9.898800477E9</v>
      </c>
      <c r="J156" s="11" t="s">
        <v>379</v>
      </c>
      <c r="K156" s="6" t="s">
        <v>373</v>
      </c>
      <c r="L156" s="9">
        <v>4.5</v>
      </c>
      <c r="M156" s="9">
        <v>15.0</v>
      </c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>
      <c r="A157" s="5">
        <v>156.0</v>
      </c>
      <c r="B157" s="6" t="s">
        <v>21</v>
      </c>
      <c r="C157" s="6" t="s">
        <v>160</v>
      </c>
      <c r="D157" s="6" t="s">
        <v>380</v>
      </c>
      <c r="E157" s="6" t="s">
        <v>16</v>
      </c>
      <c r="F157" s="6" t="s">
        <v>16</v>
      </c>
      <c r="G157" s="6" t="s">
        <v>16</v>
      </c>
      <c r="H157" s="6" t="s">
        <v>16</v>
      </c>
      <c r="I157" s="6">
        <v>9.924224411E9</v>
      </c>
      <c r="J157" s="11" t="s">
        <v>381</v>
      </c>
      <c r="K157" s="6" t="s">
        <v>382</v>
      </c>
      <c r="L157" s="9">
        <v>4.8</v>
      </c>
      <c r="M157" s="9">
        <v>63.0</v>
      </c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>
      <c r="A158" s="5">
        <v>157.0</v>
      </c>
      <c r="B158" s="6" t="s">
        <v>21</v>
      </c>
      <c r="C158" s="6" t="s">
        <v>160</v>
      </c>
      <c r="D158" s="6" t="s">
        <v>383</v>
      </c>
      <c r="E158" s="6" t="s">
        <v>16</v>
      </c>
      <c r="F158" s="6" t="s">
        <v>16</v>
      </c>
      <c r="G158" s="6" t="s">
        <v>16</v>
      </c>
      <c r="H158" s="6" t="s">
        <v>16</v>
      </c>
      <c r="I158" s="6">
        <v>8.866804951E9</v>
      </c>
      <c r="J158" s="11" t="s">
        <v>384</v>
      </c>
      <c r="K158" s="6" t="s">
        <v>373</v>
      </c>
      <c r="L158" s="9">
        <v>4.9</v>
      </c>
      <c r="M158" s="9">
        <v>58.0</v>
      </c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>
      <c r="A159" s="5">
        <v>158.0</v>
      </c>
      <c r="B159" s="6" t="s">
        <v>21</v>
      </c>
      <c r="C159" s="6" t="s">
        <v>160</v>
      </c>
      <c r="D159" s="6" t="s">
        <v>385</v>
      </c>
      <c r="E159" s="6" t="s">
        <v>16</v>
      </c>
      <c r="F159" s="6" t="s">
        <v>16</v>
      </c>
      <c r="G159" s="6" t="s">
        <v>16</v>
      </c>
      <c r="H159" s="6" t="s">
        <v>16</v>
      </c>
      <c r="I159" s="6">
        <v>7.621042997E9</v>
      </c>
      <c r="J159" s="11" t="s">
        <v>386</v>
      </c>
      <c r="K159" s="6" t="s">
        <v>387</v>
      </c>
      <c r="L159" s="9">
        <v>4.0</v>
      </c>
      <c r="M159" s="9">
        <v>2.0</v>
      </c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>
      <c r="A160" s="5">
        <v>159.0</v>
      </c>
      <c r="B160" s="6" t="s">
        <v>21</v>
      </c>
      <c r="C160" s="6" t="s">
        <v>160</v>
      </c>
      <c r="D160" s="6" t="s">
        <v>388</v>
      </c>
      <c r="E160" s="6" t="s">
        <v>16</v>
      </c>
      <c r="F160" s="6" t="s">
        <v>16</v>
      </c>
      <c r="G160" s="6" t="s">
        <v>16</v>
      </c>
      <c r="H160" s="6" t="s">
        <v>16</v>
      </c>
      <c r="I160" s="6">
        <v>7.779010029E9</v>
      </c>
      <c r="J160" s="11" t="s">
        <v>389</v>
      </c>
      <c r="K160" s="6" t="s">
        <v>390</v>
      </c>
      <c r="L160" s="9">
        <v>0.0</v>
      </c>
      <c r="M160" s="9">
        <v>0.0</v>
      </c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>
      <c r="A161" s="5">
        <v>160.0</v>
      </c>
      <c r="B161" s="6" t="s">
        <v>21</v>
      </c>
      <c r="C161" s="6" t="s">
        <v>160</v>
      </c>
      <c r="D161" s="6" t="s">
        <v>391</v>
      </c>
      <c r="E161" s="6" t="s">
        <v>16</v>
      </c>
      <c r="F161" s="6" t="s">
        <v>16</v>
      </c>
      <c r="G161" s="6" t="s">
        <v>16</v>
      </c>
      <c r="H161" s="6" t="s">
        <v>16</v>
      </c>
      <c r="I161" s="6">
        <v>7.575894848E9</v>
      </c>
      <c r="J161" s="11" t="s">
        <v>392</v>
      </c>
      <c r="K161" s="6" t="s">
        <v>373</v>
      </c>
      <c r="L161" s="9">
        <v>5.0</v>
      </c>
      <c r="M161" s="9">
        <v>8.0</v>
      </c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>
      <c r="A162" s="5">
        <v>161.0</v>
      </c>
      <c r="B162" s="6" t="s">
        <v>21</v>
      </c>
      <c r="C162" s="6" t="s">
        <v>160</v>
      </c>
      <c r="D162" s="6" t="s">
        <v>393</v>
      </c>
      <c r="E162" s="6" t="s">
        <v>16</v>
      </c>
      <c r="F162" s="6" t="s">
        <v>16</v>
      </c>
      <c r="G162" s="6" t="s">
        <v>16</v>
      </c>
      <c r="H162" s="6" t="s">
        <v>16</v>
      </c>
      <c r="I162" s="6">
        <v>7.046549656E9</v>
      </c>
      <c r="J162" s="11" t="s">
        <v>394</v>
      </c>
      <c r="K162" s="6" t="s">
        <v>357</v>
      </c>
      <c r="L162" s="9">
        <v>0.0</v>
      </c>
      <c r="M162" s="9">
        <v>0.0</v>
      </c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>
      <c r="A163" s="5">
        <v>162.0</v>
      </c>
      <c r="B163" s="6" t="s">
        <v>21</v>
      </c>
      <c r="C163" s="6" t="s">
        <v>160</v>
      </c>
      <c r="D163" s="6" t="s">
        <v>395</v>
      </c>
      <c r="E163" s="6" t="s">
        <v>16</v>
      </c>
      <c r="F163" s="6" t="s">
        <v>16</v>
      </c>
      <c r="G163" s="6" t="s">
        <v>16</v>
      </c>
      <c r="H163" s="6" t="s">
        <v>16</v>
      </c>
      <c r="I163" s="6">
        <v>9.87985849E9</v>
      </c>
      <c r="J163" s="11" t="s">
        <v>396</v>
      </c>
      <c r="K163" s="6" t="s">
        <v>373</v>
      </c>
      <c r="L163" s="9">
        <v>5.0</v>
      </c>
      <c r="M163" s="9">
        <v>3.0</v>
      </c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>
      <c r="A164" s="5">
        <v>163.0</v>
      </c>
      <c r="B164" s="6" t="s">
        <v>21</v>
      </c>
      <c r="C164" s="6" t="s">
        <v>160</v>
      </c>
      <c r="D164" s="6" t="s">
        <v>397</v>
      </c>
      <c r="E164" s="6" t="s">
        <v>16</v>
      </c>
      <c r="F164" s="6" t="s">
        <v>16</v>
      </c>
      <c r="G164" s="6" t="s">
        <v>16</v>
      </c>
      <c r="H164" s="6" t="s">
        <v>16</v>
      </c>
      <c r="I164" s="6">
        <v>7.878347684E9</v>
      </c>
      <c r="J164" s="11" t="s">
        <v>398</v>
      </c>
      <c r="K164" s="6" t="s">
        <v>399</v>
      </c>
      <c r="L164" s="9">
        <v>4.9</v>
      </c>
      <c r="M164" s="9">
        <v>212.0</v>
      </c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>
      <c r="A165" s="5">
        <v>164.0</v>
      </c>
      <c r="B165" s="6" t="s">
        <v>21</v>
      </c>
      <c r="C165" s="6" t="s">
        <v>160</v>
      </c>
      <c r="D165" s="6" t="s">
        <v>400</v>
      </c>
      <c r="E165" s="6" t="s">
        <v>16</v>
      </c>
      <c r="F165" s="6" t="s">
        <v>16</v>
      </c>
      <c r="G165" s="6" t="s">
        <v>16</v>
      </c>
      <c r="H165" s="6" t="s">
        <v>16</v>
      </c>
      <c r="I165" s="6">
        <v>9.09946302E9</v>
      </c>
      <c r="J165" s="11" t="s">
        <v>401</v>
      </c>
      <c r="K165" s="6" t="s">
        <v>215</v>
      </c>
      <c r="L165" s="9">
        <v>5.0</v>
      </c>
      <c r="M165" s="9">
        <v>6.0</v>
      </c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>
      <c r="A166" s="5">
        <v>165.0</v>
      </c>
      <c r="B166" s="6" t="s">
        <v>21</v>
      </c>
      <c r="C166" s="6" t="s">
        <v>160</v>
      </c>
      <c r="D166" s="6" t="s">
        <v>402</v>
      </c>
      <c r="E166" s="6" t="s">
        <v>16</v>
      </c>
      <c r="F166" s="6" t="s">
        <v>16</v>
      </c>
      <c r="G166" s="6" t="s">
        <v>16</v>
      </c>
      <c r="H166" s="6" t="s">
        <v>16</v>
      </c>
      <c r="I166" s="6">
        <v>9.824694138E9</v>
      </c>
      <c r="J166" s="11" t="s">
        <v>403</v>
      </c>
      <c r="K166" s="6" t="s">
        <v>215</v>
      </c>
      <c r="L166" s="9">
        <v>5.0</v>
      </c>
      <c r="M166" s="9">
        <v>71.0</v>
      </c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>
      <c r="A167" s="5">
        <v>166.0</v>
      </c>
      <c r="B167" s="6" t="s">
        <v>21</v>
      </c>
      <c r="C167" s="6" t="s">
        <v>160</v>
      </c>
      <c r="D167" s="6" t="s">
        <v>404</v>
      </c>
      <c r="E167" s="6" t="s">
        <v>16</v>
      </c>
      <c r="F167" s="6" t="s">
        <v>16</v>
      </c>
      <c r="G167" s="6" t="s">
        <v>16</v>
      </c>
      <c r="H167" s="6" t="s">
        <v>16</v>
      </c>
      <c r="I167" s="6">
        <v>6.353781742E9</v>
      </c>
      <c r="J167" s="11" t="s">
        <v>405</v>
      </c>
      <c r="K167" s="6" t="s">
        <v>205</v>
      </c>
      <c r="L167" s="9">
        <v>5.0</v>
      </c>
      <c r="M167" s="9">
        <v>124.0</v>
      </c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>
      <c r="A168" s="5">
        <v>167.0</v>
      </c>
      <c r="B168" s="6" t="s">
        <v>21</v>
      </c>
      <c r="C168" s="6" t="s">
        <v>160</v>
      </c>
      <c r="D168" s="6" t="s">
        <v>406</v>
      </c>
      <c r="E168" s="6" t="s">
        <v>16</v>
      </c>
      <c r="F168" s="6" t="s">
        <v>16</v>
      </c>
      <c r="G168" s="6" t="s">
        <v>16</v>
      </c>
      <c r="H168" s="6" t="s">
        <v>16</v>
      </c>
      <c r="I168" s="6">
        <v>7.6988855E9</v>
      </c>
      <c r="J168" s="11" t="s">
        <v>407</v>
      </c>
      <c r="K168" s="6" t="s">
        <v>215</v>
      </c>
      <c r="L168" s="9">
        <v>4.9</v>
      </c>
      <c r="M168" s="9">
        <v>27.0</v>
      </c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>
      <c r="A169" s="5">
        <v>168.0</v>
      </c>
      <c r="B169" s="6" t="s">
        <v>21</v>
      </c>
      <c r="C169" s="6" t="s">
        <v>160</v>
      </c>
      <c r="D169" s="6" t="s">
        <v>408</v>
      </c>
      <c r="E169" s="6" t="s">
        <v>16</v>
      </c>
      <c r="F169" s="6" t="s">
        <v>16</v>
      </c>
      <c r="G169" s="6" t="s">
        <v>16</v>
      </c>
      <c r="H169" s="6" t="s">
        <v>16</v>
      </c>
      <c r="I169" s="6">
        <v>7.572813888E9</v>
      </c>
      <c r="J169" s="11" t="s">
        <v>409</v>
      </c>
      <c r="K169" s="6" t="s">
        <v>215</v>
      </c>
      <c r="L169" s="9">
        <v>4.6</v>
      </c>
      <c r="M169" s="9">
        <v>121.0</v>
      </c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>
      <c r="A170" s="5">
        <v>169.0</v>
      </c>
      <c r="B170" s="6" t="s">
        <v>21</v>
      </c>
      <c r="C170" s="6" t="s">
        <v>160</v>
      </c>
      <c r="D170" s="6" t="s">
        <v>410</v>
      </c>
      <c r="E170" s="6" t="s">
        <v>16</v>
      </c>
      <c r="F170" s="6" t="s">
        <v>16</v>
      </c>
      <c r="G170" s="6" t="s">
        <v>16</v>
      </c>
      <c r="H170" s="6" t="s">
        <v>16</v>
      </c>
      <c r="I170" s="6">
        <v>9.824918446E9</v>
      </c>
      <c r="J170" s="11" t="s">
        <v>411</v>
      </c>
      <c r="K170" s="6" t="s">
        <v>205</v>
      </c>
      <c r="L170" s="9">
        <v>4.6</v>
      </c>
      <c r="M170" s="9">
        <v>33.0</v>
      </c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>
      <c r="A171" s="5">
        <v>170.0</v>
      </c>
      <c r="B171" s="6" t="s">
        <v>21</v>
      </c>
      <c r="C171" s="6" t="s">
        <v>160</v>
      </c>
      <c r="D171" s="6" t="s">
        <v>412</v>
      </c>
      <c r="E171" s="6" t="s">
        <v>16</v>
      </c>
      <c r="F171" s="6" t="s">
        <v>16</v>
      </c>
      <c r="G171" s="6" t="s">
        <v>16</v>
      </c>
      <c r="H171" s="6" t="s">
        <v>16</v>
      </c>
      <c r="I171" s="6">
        <v>7.698666144E9</v>
      </c>
      <c r="J171" s="11" t="s">
        <v>413</v>
      </c>
      <c r="K171" s="6" t="s">
        <v>205</v>
      </c>
      <c r="L171" s="9">
        <v>5.0</v>
      </c>
      <c r="M171" s="9">
        <v>22.0</v>
      </c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>
      <c r="A172" s="5">
        <v>171.0</v>
      </c>
      <c r="B172" s="6" t="s">
        <v>21</v>
      </c>
      <c r="C172" s="6" t="s">
        <v>160</v>
      </c>
      <c r="D172" s="6" t="s">
        <v>414</v>
      </c>
      <c r="E172" s="6" t="s">
        <v>16</v>
      </c>
      <c r="F172" s="6" t="s">
        <v>16</v>
      </c>
      <c r="G172" s="6" t="s">
        <v>16</v>
      </c>
      <c r="H172" s="6" t="s">
        <v>16</v>
      </c>
      <c r="I172" s="6">
        <v>9.274304342E9</v>
      </c>
      <c r="J172" s="11" t="s">
        <v>415</v>
      </c>
      <c r="K172" s="6" t="s">
        <v>215</v>
      </c>
      <c r="L172" s="9">
        <v>5.0</v>
      </c>
      <c r="M172" s="9">
        <v>20.0</v>
      </c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>
      <c r="A173" s="5">
        <v>172.0</v>
      </c>
      <c r="B173" s="6" t="s">
        <v>21</v>
      </c>
      <c r="C173" s="6" t="s">
        <v>160</v>
      </c>
      <c r="D173" s="6" t="s">
        <v>416</v>
      </c>
      <c r="E173" s="6" t="s">
        <v>16</v>
      </c>
      <c r="F173" s="6" t="s">
        <v>16</v>
      </c>
      <c r="G173" s="6" t="s">
        <v>16</v>
      </c>
      <c r="H173" s="6" t="s">
        <v>16</v>
      </c>
      <c r="I173" s="6">
        <v>7.874472954E9</v>
      </c>
      <c r="J173" s="11" t="s">
        <v>417</v>
      </c>
      <c r="K173" s="6" t="s">
        <v>215</v>
      </c>
      <c r="L173" s="9">
        <v>4.8</v>
      </c>
      <c r="M173" s="9">
        <v>20.0</v>
      </c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>
      <c r="A174" s="5">
        <v>173.0</v>
      </c>
      <c r="B174" s="6" t="s">
        <v>21</v>
      </c>
      <c r="C174" s="6" t="s">
        <v>160</v>
      </c>
      <c r="D174" s="6" t="s">
        <v>418</v>
      </c>
      <c r="E174" s="6" t="s">
        <v>16</v>
      </c>
      <c r="F174" s="6" t="s">
        <v>16</v>
      </c>
      <c r="G174" s="6" t="s">
        <v>16</v>
      </c>
      <c r="H174" s="6" t="s">
        <v>16</v>
      </c>
      <c r="I174" s="6">
        <v>9.328427734E9</v>
      </c>
      <c r="J174" s="11" t="s">
        <v>419</v>
      </c>
      <c r="K174" s="6" t="s">
        <v>215</v>
      </c>
      <c r="L174" s="9">
        <v>4.9</v>
      </c>
      <c r="M174" s="9">
        <v>81.0</v>
      </c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>
      <c r="A175" s="5">
        <v>174.0</v>
      </c>
      <c r="B175" s="6" t="s">
        <v>21</v>
      </c>
      <c r="C175" s="6" t="s">
        <v>160</v>
      </c>
      <c r="D175" s="6" t="s">
        <v>420</v>
      </c>
      <c r="E175" s="6" t="s">
        <v>16</v>
      </c>
      <c r="F175" s="6" t="s">
        <v>16</v>
      </c>
      <c r="G175" s="6" t="s">
        <v>16</v>
      </c>
      <c r="H175" s="6" t="s">
        <v>16</v>
      </c>
      <c r="I175" s="6">
        <v>9.726003954E9</v>
      </c>
      <c r="J175" s="11" t="s">
        <v>421</v>
      </c>
      <c r="K175" s="6" t="s">
        <v>215</v>
      </c>
      <c r="L175" s="9">
        <v>5.0</v>
      </c>
      <c r="M175" s="9">
        <v>3.0</v>
      </c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>
      <c r="A176" s="5">
        <v>175.0</v>
      </c>
      <c r="B176" s="6" t="s">
        <v>21</v>
      </c>
      <c r="C176" s="6" t="s">
        <v>160</v>
      </c>
      <c r="D176" s="6" t="s">
        <v>422</v>
      </c>
      <c r="E176" s="6" t="s">
        <v>16</v>
      </c>
      <c r="F176" s="6" t="s">
        <v>16</v>
      </c>
      <c r="G176" s="6" t="s">
        <v>16</v>
      </c>
      <c r="H176" s="6" t="s">
        <v>16</v>
      </c>
      <c r="I176" s="6">
        <v>8.000216008E9</v>
      </c>
      <c r="J176" s="11" t="s">
        <v>423</v>
      </c>
      <c r="K176" s="6" t="s">
        <v>424</v>
      </c>
      <c r="L176" s="9">
        <v>4.9</v>
      </c>
      <c r="M176" s="9">
        <v>105.0</v>
      </c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>
      <c r="A177" s="5">
        <v>176.0</v>
      </c>
      <c r="B177" s="6" t="s">
        <v>21</v>
      </c>
      <c r="C177" s="6" t="s">
        <v>160</v>
      </c>
      <c r="D177" s="6" t="s">
        <v>425</v>
      </c>
      <c r="E177" s="6" t="s">
        <v>16</v>
      </c>
      <c r="F177" s="6" t="s">
        <v>16</v>
      </c>
      <c r="G177" s="6" t="s">
        <v>16</v>
      </c>
      <c r="H177" s="6" t="s">
        <v>16</v>
      </c>
      <c r="I177" s="6">
        <v>8.128712585E9</v>
      </c>
      <c r="J177" s="11" t="s">
        <v>426</v>
      </c>
      <c r="K177" s="6" t="s">
        <v>427</v>
      </c>
      <c r="L177" s="9">
        <v>0.0</v>
      </c>
      <c r="M177" s="9">
        <v>0.0</v>
      </c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>
      <c r="A178" s="5">
        <v>177.0</v>
      </c>
      <c r="B178" s="6" t="s">
        <v>13</v>
      </c>
      <c r="C178" s="6" t="s">
        <v>147</v>
      </c>
      <c r="D178" s="6" t="s">
        <v>428</v>
      </c>
      <c r="E178" s="6" t="s">
        <v>16</v>
      </c>
      <c r="F178" s="6" t="s">
        <v>16</v>
      </c>
      <c r="G178" s="6" t="s">
        <v>16</v>
      </c>
      <c r="H178" s="6" t="s">
        <v>16</v>
      </c>
      <c r="I178" s="6">
        <f>17145341041</f>
        <v>17145341041</v>
      </c>
      <c r="J178" s="11" t="s">
        <v>429</v>
      </c>
      <c r="K178" s="6" t="s">
        <v>165</v>
      </c>
      <c r="L178" s="9">
        <v>4.0</v>
      </c>
      <c r="M178" s="9">
        <v>25.0</v>
      </c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>
      <c r="A179" s="5">
        <v>178.0</v>
      </c>
      <c r="B179" s="6" t="s">
        <v>13</v>
      </c>
      <c r="C179" s="6" t="s">
        <v>147</v>
      </c>
      <c r="D179" s="6" t="s">
        <v>430</v>
      </c>
      <c r="E179" s="6" t="s">
        <v>16</v>
      </c>
      <c r="F179" s="6" t="s">
        <v>16</v>
      </c>
      <c r="G179" s="6" t="s">
        <v>16</v>
      </c>
      <c r="H179" s="6" t="s">
        <v>16</v>
      </c>
      <c r="I179" s="6">
        <f>17786551238</f>
        <v>17786551238</v>
      </c>
      <c r="J179" s="11" t="s">
        <v>431</v>
      </c>
      <c r="K179" s="6" t="s">
        <v>364</v>
      </c>
      <c r="L179" s="9">
        <v>3.0</v>
      </c>
      <c r="M179" s="9">
        <v>2.0</v>
      </c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>
      <c r="A180" s="5">
        <v>179.0</v>
      </c>
      <c r="B180" s="6" t="s">
        <v>13</v>
      </c>
      <c r="C180" s="6" t="s">
        <v>147</v>
      </c>
      <c r="D180" s="6" t="s">
        <v>432</v>
      </c>
      <c r="E180" s="6" t="s">
        <v>16</v>
      </c>
      <c r="F180" s="6" t="s">
        <v>16</v>
      </c>
      <c r="G180" s="6" t="s">
        <v>16</v>
      </c>
      <c r="H180" s="6" t="s">
        <v>16</v>
      </c>
      <c r="I180" s="6">
        <f>17144848604</f>
        <v>17144848604</v>
      </c>
      <c r="J180" s="11" t="s">
        <v>433</v>
      </c>
      <c r="K180" s="6" t="s">
        <v>364</v>
      </c>
      <c r="L180" s="9">
        <v>0.0</v>
      </c>
      <c r="M180" s="9">
        <v>0.0</v>
      </c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>
      <c r="A181" s="5">
        <v>180.0</v>
      </c>
      <c r="B181" s="6" t="s">
        <v>13</v>
      </c>
      <c r="C181" s="6" t="s">
        <v>147</v>
      </c>
      <c r="D181" s="6" t="s">
        <v>434</v>
      </c>
      <c r="E181" s="6" t="s">
        <v>16</v>
      </c>
      <c r="F181" s="6" t="s">
        <v>16</v>
      </c>
      <c r="G181" s="6" t="s">
        <v>16</v>
      </c>
      <c r="H181" s="6" t="s">
        <v>16</v>
      </c>
      <c r="I181" s="6">
        <f>17148268950</f>
        <v>17148268950</v>
      </c>
      <c r="J181" s="11" t="s">
        <v>435</v>
      </c>
      <c r="K181" s="6" t="s">
        <v>235</v>
      </c>
      <c r="L181" s="9">
        <v>3.0</v>
      </c>
      <c r="M181" s="9">
        <v>8.0</v>
      </c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>
      <c r="A182" s="5">
        <v>181.0</v>
      </c>
      <c r="B182" s="6" t="s">
        <v>13</v>
      </c>
      <c r="C182" s="6" t="s">
        <v>147</v>
      </c>
      <c r="D182" s="6" t="s">
        <v>436</v>
      </c>
      <c r="E182" s="6" t="s">
        <v>16</v>
      </c>
      <c r="F182" s="6" t="s">
        <v>16</v>
      </c>
      <c r="G182" s="6" t="s">
        <v>16</v>
      </c>
      <c r="H182" s="6" t="s">
        <v>16</v>
      </c>
      <c r="I182" s="6">
        <f>17145250887</f>
        <v>17145250887</v>
      </c>
      <c r="J182" s="11" t="s">
        <v>437</v>
      </c>
      <c r="K182" s="6" t="s">
        <v>364</v>
      </c>
      <c r="L182" s="9">
        <v>3.5</v>
      </c>
      <c r="M182" s="9">
        <v>11.0</v>
      </c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>
      <c r="A183" s="5">
        <v>182.0</v>
      </c>
      <c r="B183" s="6" t="s">
        <v>21</v>
      </c>
      <c r="C183" s="6" t="s">
        <v>22</v>
      </c>
      <c r="D183" s="6" t="s">
        <v>438</v>
      </c>
      <c r="E183" s="6" t="s">
        <v>16</v>
      </c>
      <c r="F183" s="6" t="s">
        <v>16</v>
      </c>
      <c r="G183" s="6" t="s">
        <v>16</v>
      </c>
      <c r="H183" s="6" t="s">
        <v>16</v>
      </c>
      <c r="I183" s="6">
        <v>8.929196989E9</v>
      </c>
      <c r="J183" s="11" t="s">
        <v>439</v>
      </c>
      <c r="K183" s="6" t="s">
        <v>440</v>
      </c>
      <c r="L183" s="9">
        <v>5.0</v>
      </c>
      <c r="M183" s="9">
        <v>240.0</v>
      </c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>
      <c r="A184" s="5">
        <v>183.0</v>
      </c>
      <c r="B184" s="6" t="s">
        <v>21</v>
      </c>
      <c r="C184" s="6" t="s">
        <v>22</v>
      </c>
      <c r="D184" s="6" t="s">
        <v>441</v>
      </c>
      <c r="E184" s="6" t="s">
        <v>16</v>
      </c>
      <c r="F184" s="6" t="s">
        <v>16</v>
      </c>
      <c r="G184" s="6" t="s">
        <v>16</v>
      </c>
      <c r="H184" s="6" t="s">
        <v>16</v>
      </c>
      <c r="I184" s="6">
        <v>9.729019428E9</v>
      </c>
      <c r="J184" s="11" t="s">
        <v>442</v>
      </c>
      <c r="K184" s="6" t="s">
        <v>25</v>
      </c>
      <c r="L184" s="9">
        <v>3.8</v>
      </c>
      <c r="M184" s="9">
        <v>51.0</v>
      </c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>
      <c r="A185" s="5">
        <v>184.0</v>
      </c>
      <c r="B185" s="6" t="s">
        <v>21</v>
      </c>
      <c r="C185" s="6" t="s">
        <v>22</v>
      </c>
      <c r="D185" s="6" t="s">
        <v>443</v>
      </c>
      <c r="E185" s="6" t="s">
        <v>16</v>
      </c>
      <c r="F185" s="6" t="s">
        <v>16</v>
      </c>
      <c r="G185" s="6" t="s">
        <v>16</v>
      </c>
      <c r="H185" s="6" t="s">
        <v>16</v>
      </c>
      <c r="I185" s="6">
        <v>7.988108815E9</v>
      </c>
      <c r="J185" s="11" t="s">
        <v>444</v>
      </c>
      <c r="K185" s="6" t="s">
        <v>445</v>
      </c>
      <c r="L185" s="9">
        <v>4.8</v>
      </c>
      <c r="M185" s="9">
        <v>79.0</v>
      </c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>
      <c r="A186" s="5">
        <v>185.0</v>
      </c>
      <c r="B186" s="6" t="s">
        <v>21</v>
      </c>
      <c r="C186" s="6" t="s">
        <v>22</v>
      </c>
      <c r="D186" s="6" t="s">
        <v>446</v>
      </c>
      <c r="E186" s="6" t="s">
        <v>16</v>
      </c>
      <c r="F186" s="6" t="s">
        <v>16</v>
      </c>
      <c r="G186" s="6" t="s">
        <v>16</v>
      </c>
      <c r="H186" s="6" t="s">
        <v>16</v>
      </c>
      <c r="I186" s="6">
        <v>9.813368825E9</v>
      </c>
      <c r="J186" s="11" t="s">
        <v>447</v>
      </c>
      <c r="K186" s="6" t="s">
        <v>25</v>
      </c>
      <c r="L186" s="9">
        <v>4.9</v>
      </c>
      <c r="M186" s="9">
        <v>253.0</v>
      </c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>
      <c r="A187" s="5">
        <v>186.0</v>
      </c>
      <c r="B187" s="6" t="s">
        <v>21</v>
      </c>
      <c r="C187" s="6" t="s">
        <v>22</v>
      </c>
      <c r="D187" s="6" t="s">
        <v>448</v>
      </c>
      <c r="E187" s="6" t="s">
        <v>16</v>
      </c>
      <c r="F187" s="6" t="s">
        <v>16</v>
      </c>
      <c r="G187" s="6" t="s">
        <v>16</v>
      </c>
      <c r="H187" s="6" t="s">
        <v>16</v>
      </c>
      <c r="I187" s="6">
        <v>1.664243995E9</v>
      </c>
      <c r="J187" s="11" t="s">
        <v>449</v>
      </c>
      <c r="K187" s="6" t="s">
        <v>117</v>
      </c>
      <c r="L187" s="9">
        <v>4.2</v>
      </c>
      <c r="M187" s="9">
        <v>6.0</v>
      </c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>
      <c r="A188" s="5">
        <v>187.0</v>
      </c>
      <c r="B188" s="6" t="s">
        <v>21</v>
      </c>
      <c r="C188" s="6" t="s">
        <v>22</v>
      </c>
      <c r="D188" s="6" t="s">
        <v>450</v>
      </c>
      <c r="E188" s="6" t="s">
        <v>16</v>
      </c>
      <c r="F188" s="6" t="s">
        <v>16</v>
      </c>
      <c r="G188" s="6" t="s">
        <v>16</v>
      </c>
      <c r="H188" s="6" t="s">
        <v>16</v>
      </c>
      <c r="I188" s="6">
        <v>9.728200102E9</v>
      </c>
      <c r="J188" s="11" t="s">
        <v>451</v>
      </c>
      <c r="K188" s="6" t="s">
        <v>297</v>
      </c>
      <c r="L188" s="9">
        <v>5.0</v>
      </c>
      <c r="M188" s="9">
        <v>1.0</v>
      </c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>
      <c r="A189" s="5">
        <v>188.0</v>
      </c>
      <c r="B189" s="6" t="s">
        <v>21</v>
      </c>
      <c r="C189" s="6" t="s">
        <v>22</v>
      </c>
      <c r="D189" s="6" t="s">
        <v>452</v>
      </c>
      <c r="E189" s="6" t="s">
        <v>16</v>
      </c>
      <c r="F189" s="6" t="s">
        <v>16</v>
      </c>
      <c r="G189" s="6" t="s">
        <v>16</v>
      </c>
      <c r="H189" s="6" t="s">
        <v>16</v>
      </c>
      <c r="I189" s="6">
        <v>8.9015043E9</v>
      </c>
      <c r="J189" s="11" t="s">
        <v>453</v>
      </c>
      <c r="K189" s="6" t="s">
        <v>454</v>
      </c>
      <c r="L189" s="9">
        <v>5.0</v>
      </c>
      <c r="M189" s="9">
        <v>10.0</v>
      </c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>
      <c r="A190" s="5">
        <v>189.0</v>
      </c>
      <c r="B190" s="6" t="s">
        <v>21</v>
      </c>
      <c r="C190" s="6" t="s">
        <v>22</v>
      </c>
      <c r="D190" s="6" t="s">
        <v>455</v>
      </c>
      <c r="E190" s="6" t="s">
        <v>16</v>
      </c>
      <c r="F190" s="6" t="s">
        <v>16</v>
      </c>
      <c r="G190" s="6" t="s">
        <v>16</v>
      </c>
      <c r="H190" s="6" t="s">
        <v>16</v>
      </c>
      <c r="I190" s="6">
        <v>9.466169E9</v>
      </c>
      <c r="J190" s="11" t="s">
        <v>456</v>
      </c>
      <c r="K190" s="6" t="s">
        <v>120</v>
      </c>
      <c r="L190" s="9">
        <v>4.8</v>
      </c>
      <c r="M190" s="9">
        <v>190.0</v>
      </c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>
      <c r="A191" s="5">
        <v>190.0</v>
      </c>
      <c r="B191" s="6" t="s">
        <v>21</v>
      </c>
      <c r="C191" s="6" t="s">
        <v>22</v>
      </c>
      <c r="D191" s="6" t="s">
        <v>457</v>
      </c>
      <c r="E191" s="6" t="s">
        <v>16</v>
      </c>
      <c r="F191" s="6" t="s">
        <v>16</v>
      </c>
      <c r="G191" s="6" t="s">
        <v>16</v>
      </c>
      <c r="H191" s="6" t="s">
        <v>16</v>
      </c>
      <c r="I191" s="6">
        <v>8.981707E9</v>
      </c>
      <c r="J191" s="11" t="s">
        <v>458</v>
      </c>
      <c r="K191" s="6" t="s">
        <v>120</v>
      </c>
      <c r="L191" s="9">
        <v>5.0</v>
      </c>
      <c r="M191" s="9">
        <v>35.0</v>
      </c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>
      <c r="A192" s="5">
        <v>191.0</v>
      </c>
      <c r="B192" s="6" t="s">
        <v>21</v>
      </c>
      <c r="C192" s="6" t="s">
        <v>22</v>
      </c>
      <c r="D192" s="6" t="s">
        <v>459</v>
      </c>
      <c r="E192" s="6" t="s">
        <v>16</v>
      </c>
      <c r="F192" s="6" t="s">
        <v>16</v>
      </c>
      <c r="G192" s="6" t="s">
        <v>16</v>
      </c>
      <c r="H192" s="6" t="s">
        <v>16</v>
      </c>
      <c r="I192" s="6">
        <v>9.25512101E9</v>
      </c>
      <c r="J192" s="11" t="s">
        <v>460</v>
      </c>
      <c r="K192" s="6" t="s">
        <v>25</v>
      </c>
      <c r="L192" s="9">
        <v>4.3</v>
      </c>
      <c r="M192" s="9">
        <v>3.0</v>
      </c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>
      <c r="A193" s="5">
        <v>192.0</v>
      </c>
      <c r="B193" s="6" t="s">
        <v>21</v>
      </c>
      <c r="C193" s="6" t="s">
        <v>22</v>
      </c>
      <c r="D193" s="6" t="s">
        <v>461</v>
      </c>
      <c r="E193" s="6" t="s">
        <v>16</v>
      </c>
      <c r="F193" s="6" t="s">
        <v>16</v>
      </c>
      <c r="G193" s="6" t="s">
        <v>16</v>
      </c>
      <c r="H193" s="6" t="s">
        <v>16</v>
      </c>
      <c r="I193" s="6">
        <v>1.6642511E9</v>
      </c>
      <c r="J193" s="11" t="s">
        <v>462</v>
      </c>
      <c r="K193" s="6" t="s">
        <v>463</v>
      </c>
      <c r="L193" s="9">
        <v>3.2</v>
      </c>
      <c r="M193" s="9">
        <v>30.0</v>
      </c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>
      <c r="A194" s="5">
        <v>193.0</v>
      </c>
      <c r="B194" s="6" t="s">
        <v>21</v>
      </c>
      <c r="C194" s="6" t="s">
        <v>22</v>
      </c>
      <c r="D194" s="6" t="s">
        <v>464</v>
      </c>
      <c r="E194" s="6" t="s">
        <v>16</v>
      </c>
      <c r="F194" s="6" t="s">
        <v>16</v>
      </c>
      <c r="G194" s="6" t="s">
        <v>16</v>
      </c>
      <c r="H194" s="6" t="s">
        <v>16</v>
      </c>
      <c r="I194" s="6">
        <v>9.653531055E9</v>
      </c>
      <c r="J194" s="11" t="s">
        <v>465</v>
      </c>
      <c r="K194" s="6" t="s">
        <v>120</v>
      </c>
      <c r="L194" s="9">
        <v>4.7</v>
      </c>
      <c r="M194" s="9">
        <v>83.0</v>
      </c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>
      <c r="A195" s="5">
        <v>194.0</v>
      </c>
      <c r="B195" s="6" t="s">
        <v>21</v>
      </c>
      <c r="C195" s="6" t="s">
        <v>22</v>
      </c>
      <c r="D195" s="6" t="s">
        <v>466</v>
      </c>
      <c r="E195" s="6" t="s">
        <v>16</v>
      </c>
      <c r="F195" s="6" t="s">
        <v>16</v>
      </c>
      <c r="G195" s="6" t="s">
        <v>16</v>
      </c>
      <c r="H195" s="6" t="s">
        <v>16</v>
      </c>
      <c r="I195" s="6">
        <v>1.66424381E9</v>
      </c>
      <c r="J195" s="11" t="s">
        <v>467</v>
      </c>
      <c r="K195" s="6" t="s">
        <v>117</v>
      </c>
      <c r="L195" s="9">
        <v>0.0</v>
      </c>
      <c r="M195" s="9">
        <v>0.0</v>
      </c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>
      <c r="A196" s="5">
        <v>195.0</v>
      </c>
      <c r="B196" s="6" t="s">
        <v>21</v>
      </c>
      <c r="C196" s="6" t="s">
        <v>22</v>
      </c>
      <c r="D196" s="6" t="s">
        <v>468</v>
      </c>
      <c r="E196" s="6" t="s">
        <v>16</v>
      </c>
      <c r="F196" s="6" t="s">
        <v>16</v>
      </c>
      <c r="G196" s="6" t="s">
        <v>16</v>
      </c>
      <c r="H196" s="6" t="s">
        <v>16</v>
      </c>
      <c r="I196" s="6">
        <v>9.992343473E9</v>
      </c>
      <c r="J196" s="11" t="s">
        <v>469</v>
      </c>
      <c r="K196" s="6" t="s">
        <v>470</v>
      </c>
      <c r="L196" s="9">
        <v>5.0</v>
      </c>
      <c r="M196" s="9">
        <v>6.0</v>
      </c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>
      <c r="A197" s="5">
        <v>196.0</v>
      </c>
      <c r="B197" s="6" t="s">
        <v>21</v>
      </c>
      <c r="C197" s="6" t="s">
        <v>89</v>
      </c>
      <c r="D197" s="6" t="s">
        <v>471</v>
      </c>
      <c r="E197" s="6" t="s">
        <v>16</v>
      </c>
      <c r="F197" s="6" t="s">
        <v>16</v>
      </c>
      <c r="G197" s="6" t="s">
        <v>16</v>
      </c>
      <c r="H197" s="6" t="s">
        <v>16</v>
      </c>
      <c r="I197" s="6">
        <v>9.024132313E9</v>
      </c>
      <c r="J197" s="11" t="s">
        <v>472</v>
      </c>
      <c r="K197" s="6" t="s">
        <v>215</v>
      </c>
      <c r="L197" s="9">
        <v>0.0</v>
      </c>
      <c r="M197" s="9">
        <v>0.0</v>
      </c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>
      <c r="A198" s="5">
        <v>197.0</v>
      </c>
      <c r="B198" s="6" t="s">
        <v>21</v>
      </c>
      <c r="C198" s="6" t="s">
        <v>22</v>
      </c>
      <c r="D198" s="6" t="s">
        <v>473</v>
      </c>
      <c r="E198" s="6" t="s">
        <v>16</v>
      </c>
      <c r="F198" s="6" t="s">
        <v>16</v>
      </c>
      <c r="G198" s="6" t="s">
        <v>16</v>
      </c>
      <c r="H198" s="6" t="s">
        <v>16</v>
      </c>
      <c r="I198" s="6">
        <v>9.312722355E9</v>
      </c>
      <c r="J198" s="11" t="s">
        <v>474</v>
      </c>
      <c r="K198" s="6" t="s">
        <v>25</v>
      </c>
      <c r="L198" s="9">
        <v>4.8</v>
      </c>
      <c r="M198" s="9">
        <v>46.0</v>
      </c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>
      <c r="A199" s="5">
        <v>198.0</v>
      </c>
      <c r="B199" s="6" t="s">
        <v>21</v>
      </c>
      <c r="C199" s="6" t="s">
        <v>22</v>
      </c>
      <c r="D199" s="6" t="s">
        <v>475</v>
      </c>
      <c r="E199" s="6" t="s">
        <v>16</v>
      </c>
      <c r="F199" s="6" t="s">
        <v>16</v>
      </c>
      <c r="G199" s="6" t="s">
        <v>16</v>
      </c>
      <c r="H199" s="6" t="s">
        <v>16</v>
      </c>
      <c r="I199" s="6">
        <v>8.60782064E9</v>
      </c>
      <c r="J199" s="11" t="s">
        <v>476</v>
      </c>
      <c r="K199" s="6" t="s">
        <v>120</v>
      </c>
      <c r="L199" s="9">
        <v>0.0</v>
      </c>
      <c r="M199" s="9">
        <v>0.0</v>
      </c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>
      <c r="A200" s="5">
        <v>199.0</v>
      </c>
      <c r="B200" s="6" t="s">
        <v>21</v>
      </c>
      <c r="C200" s="6" t="s">
        <v>22</v>
      </c>
      <c r="D200" s="6" t="s">
        <v>477</v>
      </c>
      <c r="E200" s="6" t="s">
        <v>16</v>
      </c>
      <c r="F200" s="6" t="s">
        <v>16</v>
      </c>
      <c r="G200" s="6" t="s">
        <v>16</v>
      </c>
      <c r="H200" s="6" t="s">
        <v>16</v>
      </c>
      <c r="I200" s="6">
        <v>1.664246057E9</v>
      </c>
      <c r="J200" s="11" t="s">
        <v>478</v>
      </c>
      <c r="K200" s="6" t="s">
        <v>25</v>
      </c>
      <c r="L200" s="9">
        <v>4.3</v>
      </c>
      <c r="M200" s="9">
        <v>14.0</v>
      </c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>
      <c r="A201" s="5">
        <v>200.0</v>
      </c>
      <c r="B201" s="6" t="s">
        <v>21</v>
      </c>
      <c r="C201" s="6" t="s">
        <v>22</v>
      </c>
      <c r="D201" s="6" t="s">
        <v>479</v>
      </c>
      <c r="E201" s="6" t="s">
        <v>16</v>
      </c>
      <c r="F201" s="6" t="s">
        <v>16</v>
      </c>
      <c r="G201" s="6" t="s">
        <v>16</v>
      </c>
      <c r="H201" s="6" t="s">
        <v>16</v>
      </c>
      <c r="I201" s="6">
        <v>9.050428009E9</v>
      </c>
      <c r="J201" s="11" t="s">
        <v>480</v>
      </c>
      <c r="K201" s="6" t="s">
        <v>120</v>
      </c>
      <c r="L201" s="9">
        <v>0.0</v>
      </c>
      <c r="M201" s="9">
        <v>0.0</v>
      </c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</sheetData>
  <dataValidations>
    <dataValidation type="list" allowBlank="1" showErrorMessage="1" sqref="B2:B201">
      <formula1>"Country,India,USA,UAE,UK"</formula1>
    </dataValidation>
    <dataValidation type="list" allowBlank="1" showErrorMessage="1" sqref="C2:C201">
      <formula1>"Bhopal,City,Delhi,Indore ,Jaipur ,Lucknow,Patna,Pune,Haryana ,Rajasthan,Gujarat,San Francisco,Las Vegas,Los Angeles"</formula1>
    </dataValidation>
  </dataValidations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  <hyperlink r:id="rId25" ref="J26"/>
    <hyperlink r:id="rId26" ref="J27"/>
    <hyperlink r:id="rId27" ref="J28"/>
    <hyperlink r:id="rId28" ref="J29"/>
    <hyperlink r:id="rId29" ref="J30"/>
    <hyperlink r:id="rId30" ref="J31"/>
    <hyperlink r:id="rId31" ref="J32"/>
    <hyperlink r:id="rId32" ref="J33"/>
    <hyperlink r:id="rId33" ref="J34"/>
    <hyperlink r:id="rId34" ref="J35"/>
    <hyperlink r:id="rId35" ref="J36"/>
    <hyperlink r:id="rId36" ref="J37"/>
    <hyperlink r:id="rId37" ref="J38"/>
    <hyperlink r:id="rId38" ref="J39"/>
    <hyperlink r:id="rId39" ref="J40"/>
    <hyperlink r:id="rId40" ref="J41"/>
    <hyperlink r:id="rId41" ref="J42"/>
    <hyperlink r:id="rId42" ref="J43"/>
    <hyperlink r:id="rId43" ref="J44"/>
    <hyperlink r:id="rId44" ref="J45"/>
    <hyperlink r:id="rId45" ref="J46"/>
    <hyperlink r:id="rId46" ref="J47"/>
    <hyperlink r:id="rId47" ref="J48"/>
    <hyperlink r:id="rId48" ref="J49"/>
    <hyperlink r:id="rId49" ref="J50"/>
    <hyperlink r:id="rId50" ref="J51"/>
    <hyperlink r:id="rId51" ref="J52"/>
    <hyperlink r:id="rId52" ref="J53"/>
    <hyperlink r:id="rId53" ref="J54"/>
    <hyperlink r:id="rId54" ref="J55"/>
    <hyperlink r:id="rId55" ref="J56"/>
    <hyperlink r:id="rId56" ref="J57"/>
    <hyperlink r:id="rId57" ref="J58"/>
    <hyperlink r:id="rId58" ref="J59"/>
    <hyperlink r:id="rId59" ref="J60"/>
    <hyperlink r:id="rId60" ref="J61"/>
    <hyperlink r:id="rId61" ref="J62"/>
    <hyperlink r:id="rId62" ref="J63"/>
    <hyperlink r:id="rId63" ref="J64"/>
    <hyperlink r:id="rId64" ref="J65"/>
    <hyperlink r:id="rId65" ref="J66"/>
    <hyperlink r:id="rId66" ref="J67"/>
    <hyperlink r:id="rId67" ref="J68"/>
    <hyperlink r:id="rId68" ref="J69"/>
    <hyperlink r:id="rId69" ref="J70"/>
    <hyperlink r:id="rId70" ref="J71"/>
    <hyperlink r:id="rId71" ref="J72"/>
    <hyperlink r:id="rId72" ref="J73"/>
    <hyperlink r:id="rId73" ref="J74"/>
    <hyperlink r:id="rId74" ref="J75"/>
    <hyperlink r:id="rId75" ref="J76"/>
    <hyperlink r:id="rId76" ref="J77"/>
    <hyperlink r:id="rId77" ref="J78"/>
    <hyperlink r:id="rId78" ref="J79"/>
    <hyperlink r:id="rId79" ref="J80"/>
    <hyperlink r:id="rId80" ref="J81"/>
    <hyperlink r:id="rId81" ref="J82"/>
    <hyperlink r:id="rId82" ref="J83"/>
    <hyperlink r:id="rId83" ref="J84"/>
    <hyperlink r:id="rId84" ref="J85"/>
    <hyperlink r:id="rId85" ref="J86"/>
    <hyperlink r:id="rId86" ref="J87"/>
    <hyperlink r:id="rId87" ref="J88"/>
    <hyperlink r:id="rId88" ref="J89"/>
    <hyperlink r:id="rId89" ref="J90"/>
    <hyperlink r:id="rId90" ref="J91"/>
    <hyperlink r:id="rId91" ref="J92"/>
    <hyperlink r:id="rId92" ref="J93"/>
    <hyperlink r:id="rId93" ref="J94"/>
    <hyperlink r:id="rId94" ref="J95"/>
    <hyperlink r:id="rId95" ref="J96"/>
    <hyperlink r:id="rId96" ref="J97"/>
    <hyperlink r:id="rId97" ref="J98"/>
    <hyperlink r:id="rId98" ref="J99"/>
    <hyperlink r:id="rId99" ref="J100"/>
    <hyperlink r:id="rId100" ref="J101"/>
    <hyperlink r:id="rId101" ref="J102"/>
    <hyperlink r:id="rId102" ref="J103"/>
    <hyperlink r:id="rId103" ref="J104"/>
    <hyperlink r:id="rId104" ref="J105"/>
    <hyperlink r:id="rId105" ref="J106"/>
    <hyperlink r:id="rId106" ref="J107"/>
    <hyperlink r:id="rId107" ref="J108"/>
    <hyperlink r:id="rId108" ref="J109"/>
    <hyperlink r:id="rId109" ref="J110"/>
    <hyperlink r:id="rId110" ref="J111"/>
    <hyperlink r:id="rId111" ref="J112"/>
    <hyperlink r:id="rId112" ref="J113"/>
    <hyperlink r:id="rId113" ref="J114"/>
    <hyperlink r:id="rId114" ref="J115"/>
    <hyperlink r:id="rId115" ref="J116"/>
    <hyperlink r:id="rId116" ref="J117"/>
    <hyperlink r:id="rId117" ref="J118"/>
    <hyperlink r:id="rId118" ref="J119"/>
    <hyperlink r:id="rId119" ref="J120"/>
    <hyperlink r:id="rId120" ref="J121"/>
    <hyperlink r:id="rId121" ref="J122"/>
    <hyperlink r:id="rId122" ref="J123"/>
    <hyperlink r:id="rId123" ref="J124"/>
    <hyperlink r:id="rId124" ref="J125"/>
    <hyperlink r:id="rId125" ref="J126"/>
    <hyperlink r:id="rId126" ref="J127"/>
    <hyperlink r:id="rId127" ref="J128"/>
    <hyperlink r:id="rId128" ref="J129"/>
    <hyperlink r:id="rId129" ref="J130"/>
    <hyperlink r:id="rId130" ref="J131"/>
    <hyperlink r:id="rId131" ref="J132"/>
    <hyperlink r:id="rId132" ref="J133"/>
    <hyperlink r:id="rId133" ref="J134"/>
    <hyperlink r:id="rId134" ref="J135"/>
    <hyperlink r:id="rId135" ref="J136"/>
    <hyperlink r:id="rId136" ref="J137"/>
    <hyperlink r:id="rId137" ref="J138"/>
    <hyperlink r:id="rId138" ref="J139"/>
    <hyperlink r:id="rId139" ref="J140"/>
    <hyperlink r:id="rId140" ref="J141"/>
    <hyperlink r:id="rId141" ref="J142"/>
    <hyperlink r:id="rId142" ref="J143"/>
    <hyperlink r:id="rId143" ref="J144"/>
    <hyperlink r:id="rId144" ref="J145"/>
    <hyperlink r:id="rId145" ref="J146"/>
    <hyperlink r:id="rId146" ref="J147"/>
    <hyperlink r:id="rId147" ref="J148"/>
    <hyperlink r:id="rId148" ref="J149"/>
    <hyperlink r:id="rId149" ref="J150"/>
    <hyperlink r:id="rId150" ref="J151"/>
    <hyperlink r:id="rId151" ref="J152"/>
    <hyperlink r:id="rId152" ref="J153"/>
    <hyperlink r:id="rId153" ref="J154"/>
    <hyperlink r:id="rId154" ref="J155"/>
    <hyperlink r:id="rId155" ref="J156"/>
    <hyperlink r:id="rId156" ref="J157"/>
    <hyperlink r:id="rId157" ref="J158"/>
    <hyperlink r:id="rId158" ref="J159"/>
    <hyperlink r:id="rId159" ref="J160"/>
    <hyperlink r:id="rId160" ref="J161"/>
    <hyperlink r:id="rId161" ref="J162"/>
    <hyperlink r:id="rId162" ref="J163"/>
    <hyperlink r:id="rId163" ref="J164"/>
    <hyperlink r:id="rId164" ref="J165"/>
    <hyperlink r:id="rId165" ref="J166"/>
    <hyperlink r:id="rId166" ref="J167"/>
    <hyperlink r:id="rId167" ref="J168"/>
    <hyperlink r:id="rId168" ref="J169"/>
    <hyperlink r:id="rId169" ref="J170"/>
    <hyperlink r:id="rId170" ref="J171"/>
    <hyperlink r:id="rId171" ref="J172"/>
    <hyperlink r:id="rId172" ref="J173"/>
    <hyperlink r:id="rId173" ref="J174"/>
    <hyperlink r:id="rId174" ref="J175"/>
    <hyperlink r:id="rId175" ref="J176"/>
    <hyperlink r:id="rId176" ref="J177"/>
    <hyperlink r:id="rId177" ref="J178"/>
    <hyperlink r:id="rId178" ref="J179"/>
    <hyperlink r:id="rId179" ref="J180"/>
    <hyperlink r:id="rId180" ref="J181"/>
    <hyperlink r:id="rId181" ref="J182"/>
    <hyperlink r:id="rId182" ref="J183"/>
    <hyperlink r:id="rId183" ref="J184"/>
    <hyperlink r:id="rId184" ref="J185"/>
    <hyperlink r:id="rId185" ref="J186"/>
    <hyperlink r:id="rId186" ref="J187"/>
    <hyperlink r:id="rId187" ref="J188"/>
    <hyperlink r:id="rId188" ref="J189"/>
    <hyperlink r:id="rId189" ref="J190"/>
    <hyperlink r:id="rId190" ref="J191"/>
    <hyperlink r:id="rId191" ref="J192"/>
    <hyperlink r:id="rId192" ref="J193"/>
    <hyperlink r:id="rId193" ref="J194"/>
    <hyperlink r:id="rId194" ref="J195"/>
    <hyperlink r:id="rId195" ref="J196"/>
    <hyperlink r:id="rId196" ref="J197"/>
    <hyperlink r:id="rId197" ref="J198"/>
    <hyperlink r:id="rId198" ref="J199"/>
    <hyperlink r:id="rId199" ref="J200"/>
    <hyperlink r:id="rId200" ref="J201"/>
  </hyperlinks>
  <drawing r:id="rId201"/>
</worksheet>
</file>